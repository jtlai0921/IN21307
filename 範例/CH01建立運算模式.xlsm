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996" yWindow="-12" windowWidth="4512" windowHeight="2916"/>
  </bookViews>
  <sheets>
    <sheet name="公式與函數" sheetId="1" r:id="rId1"/>
    <sheet name="學生成績" sheetId="5" r:id="rId2"/>
    <sheet name="條件式加總" sheetId="4" r:id="rId3"/>
    <sheet name="使用函數好處" sheetId="2" r:id="rId4"/>
  </sheets>
  <definedNames>
    <definedName name="合計">#REF!</definedName>
    <definedName name="總計">#REF!</definedName>
  </definedNames>
  <calcPr calcId="145621"/>
</workbook>
</file>

<file path=xl/calcChain.xml><?xml version="1.0" encoding="utf-8"?>
<calcChain xmlns="http://schemas.openxmlformats.org/spreadsheetml/2006/main">
  <c r="H2" i="5" l="1"/>
  <c r="I17" i="1"/>
  <c r="I18" i="1"/>
  <c r="I21" i="1" s="1"/>
  <c r="I19" i="1"/>
  <c r="I20" i="1"/>
  <c r="A3" i="4"/>
  <c r="G3" i="4"/>
  <c r="G21" i="4" s="1" a="1"/>
  <c r="G21" i="4" s="1"/>
  <c r="A4" i="4"/>
  <c r="G4" i="4"/>
  <c r="A5" i="4"/>
  <c r="G5" i="4"/>
  <c r="A6" i="4"/>
  <c r="G6" i="4"/>
  <c r="A7" i="4"/>
  <c r="G7" i="4"/>
  <c r="A8" i="4"/>
  <c r="G8" i="4"/>
  <c r="A9" i="4"/>
  <c r="G9" i="4"/>
  <c r="A10" i="4"/>
  <c r="G10" i="4"/>
  <c r="A11" i="4"/>
  <c r="G11" i="4"/>
  <c r="A12" i="4"/>
  <c r="G12" i="4"/>
  <c r="A13" i="4"/>
  <c r="G13" i="4"/>
  <c r="A14" i="4"/>
  <c r="A15" i="4" s="1"/>
  <c r="A16" i="4" s="1"/>
  <c r="A17" i="4" s="1"/>
  <c r="A18" i="4" s="1"/>
  <c r="A19" i="4" s="1"/>
  <c r="A20" i="4" s="1"/>
  <c r="G14" i="4"/>
  <c r="G15" i="4"/>
  <c r="G16" i="4"/>
  <c r="G17" i="4"/>
  <c r="G18" i="4"/>
  <c r="G19" i="4"/>
  <c r="G20" i="4"/>
  <c r="B5" i="2"/>
  <c r="D5" i="2" s="1"/>
  <c r="C5" i="2"/>
  <c r="B6" i="2"/>
  <c r="D6" i="2" s="1"/>
  <c r="C6" i="2"/>
  <c r="B7" i="2"/>
  <c r="D7" i="2" s="1"/>
  <c r="C7" i="2"/>
  <c r="B8" i="2"/>
  <c r="D8" i="2" s="1"/>
  <c r="C8" i="2"/>
  <c r="B9" i="2"/>
  <c r="C9" i="2"/>
  <c r="B10" i="2"/>
  <c r="D10" i="2" s="1"/>
  <c r="C10" i="2"/>
  <c r="B3" i="2"/>
  <c r="B4" i="2"/>
  <c r="D9" i="2"/>
  <c r="C4" i="2"/>
  <c r="D4" i="2" s="1"/>
  <c r="C3" i="2"/>
  <c r="I6" i="1"/>
  <c r="J6" i="1"/>
  <c r="I7" i="1"/>
  <c r="J7" i="1"/>
  <c r="I8" i="1"/>
  <c r="J8" i="1"/>
  <c r="I9" i="1"/>
  <c r="J9" i="1"/>
  <c r="I10" i="1"/>
  <c r="J10" i="1"/>
  <c r="K10" i="1" s="1"/>
  <c r="I11" i="1"/>
  <c r="J11" i="1"/>
  <c r="K11" i="1" s="1"/>
  <c r="I12" i="1"/>
  <c r="J12" i="1"/>
  <c r="I13" i="1"/>
  <c r="J13" i="1"/>
  <c r="K13" i="1" s="1"/>
  <c r="A2" i="1"/>
  <c r="D3" i="2" l="1"/>
  <c r="K9" i="1"/>
  <c r="K7" i="1"/>
  <c r="K6" i="1"/>
  <c r="K12" i="1"/>
  <c r="K8" i="1"/>
  <c r="B17" i="2"/>
</calcChain>
</file>

<file path=xl/sharedStrings.xml><?xml version="1.0" encoding="utf-8"?>
<sst xmlns="http://schemas.openxmlformats.org/spreadsheetml/2006/main" count="140" uniqueCount="74">
  <si>
    <t>第二季</t>
  </si>
  <si>
    <t>第三季</t>
  </si>
  <si>
    <t>第四季</t>
  </si>
  <si>
    <t>陳友敬</t>
  </si>
  <si>
    <t>陳儀庭</t>
  </si>
  <si>
    <t>莊慧玲</t>
  </si>
  <si>
    <t>陳偉忠</t>
  </si>
  <si>
    <t>陳玉玲</t>
  </si>
  <si>
    <t>李婉茹</t>
  </si>
  <si>
    <t>張絮菁</t>
  </si>
  <si>
    <t>楊雅雯</t>
  </si>
  <si>
    <t>姓名</t>
    <phoneticPr fontId="3" type="noConversion"/>
  </si>
  <si>
    <t>經濟</t>
    <phoneticPr fontId="3" type="noConversion"/>
  </si>
  <si>
    <t>統計</t>
    <phoneticPr fontId="3" type="noConversion"/>
  </si>
  <si>
    <t>合計</t>
    <phoneticPr fontId="3" type="noConversion"/>
  </si>
  <si>
    <t>成績統計表</t>
    <phoneticPr fontId="3" type="noConversion"/>
  </si>
  <si>
    <t>平均值</t>
    <phoneticPr fontId="3" type="noConversion"/>
  </si>
  <si>
    <t>標準差</t>
    <phoneticPr fontId="3" type="noConversion"/>
  </si>
  <si>
    <t>巢狀函數</t>
    <phoneticPr fontId="3" type="noConversion"/>
  </si>
  <si>
    <t>日期</t>
  </si>
  <si>
    <t>銷售員</t>
  </si>
  <si>
    <t>產品</t>
  </si>
  <si>
    <t>區域</t>
  </si>
  <si>
    <t>單價</t>
  </si>
  <si>
    <t>銷售量</t>
  </si>
  <si>
    <t>小計</t>
  </si>
  <si>
    <t>台北</t>
  </si>
  <si>
    <t>台中</t>
  </si>
  <si>
    <t>高雄</t>
  </si>
  <si>
    <t>施大偉</t>
  </si>
  <si>
    <t>A92002</t>
  </si>
  <si>
    <t>李榮宗</t>
  </si>
  <si>
    <t>A92003</t>
  </si>
  <si>
    <t>吳宜真</t>
  </si>
  <si>
    <t>A92004</t>
  </si>
  <si>
    <t>張淑滿</t>
  </si>
  <si>
    <t>A92005</t>
  </si>
  <si>
    <t>A92006</t>
  </si>
  <si>
    <t>A92007</t>
  </si>
  <si>
    <t>A92008</t>
  </si>
  <si>
    <t>A92009</t>
  </si>
  <si>
    <t>A92010</t>
  </si>
  <si>
    <t>A92011</t>
  </si>
  <si>
    <t>學號</t>
    <phoneticPr fontId="3" type="noConversion"/>
  </si>
  <si>
    <t>姓名</t>
    <phoneticPr fontId="3" type="noConversion"/>
  </si>
  <si>
    <t>國文</t>
    <phoneticPr fontId="3" type="noConversion"/>
  </si>
  <si>
    <t>英文</t>
    <phoneticPr fontId="3" type="noConversion"/>
  </si>
  <si>
    <t>電腦</t>
    <phoneticPr fontId="3" type="noConversion"/>
  </si>
  <si>
    <t>總分</t>
    <phoneticPr fontId="3" type="noConversion"/>
  </si>
  <si>
    <t>加權</t>
    <phoneticPr fontId="3" type="noConversion"/>
  </si>
  <si>
    <t>比重</t>
    <phoneticPr fontId="3" type="noConversion"/>
  </si>
  <si>
    <t>A92001</t>
    <phoneticPr fontId="3" type="noConversion"/>
  </si>
  <si>
    <t>陳友敬</t>
    <phoneticPr fontId="3" type="noConversion"/>
  </si>
  <si>
    <t>陳儀庭</t>
    <phoneticPr fontId="3" type="noConversion"/>
  </si>
  <si>
    <t>莊慧玲</t>
    <phoneticPr fontId="3" type="noConversion"/>
  </si>
  <si>
    <t>莊宏仁</t>
    <phoneticPr fontId="3" type="noConversion"/>
  </si>
  <si>
    <t>莊宏鳴</t>
    <phoneticPr fontId="3" type="noConversion"/>
  </si>
  <si>
    <t>陳季敏</t>
    <phoneticPr fontId="3" type="noConversion"/>
  </si>
  <si>
    <t>陳偉忠</t>
    <phoneticPr fontId="3" type="noConversion"/>
  </si>
  <si>
    <t>業務員</t>
    <phoneticPr fontId="3" type="noConversion"/>
  </si>
  <si>
    <t>第一季</t>
    <phoneticPr fontId="3" type="noConversion"/>
  </si>
  <si>
    <t>總和</t>
    <phoneticPr fontId="3" type="noConversion"/>
  </si>
  <si>
    <t>經濟</t>
    <phoneticPr fontId="3" type="noConversion"/>
  </si>
  <si>
    <t>合計</t>
    <phoneticPr fontId="3" type="noConversion"/>
  </si>
  <si>
    <t>總計</t>
    <phoneticPr fontId="3" type="noConversion"/>
  </si>
  <si>
    <t>博碩文化股份有限公司</t>
    <phoneticPr fontId="3" type="noConversion"/>
  </si>
  <si>
    <t>博碩產品銷售清單</t>
    <phoneticPr fontId="3" type="noConversion"/>
  </si>
  <si>
    <t>林宸旭</t>
  </si>
  <si>
    <t>林宸佑</t>
  </si>
  <si>
    <t>林宏諭</t>
  </si>
  <si>
    <t>EXCEL 2005</t>
  </si>
  <si>
    <t>Word 2005</t>
  </si>
  <si>
    <t>PPT 2005</t>
  </si>
  <si>
    <t>PROJECT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</si>
</sst>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76" formatCode="_-* #,##0_-;\-* #,##0_-;_-* &quot;-&quot;??_-;_-@_-"/>
    <numFmt numFmtId="192" formatCode="&quot;$&quot;#,##0.0_);\(&quot;$&quot;#,##0.0\)"/>
    <numFmt numFmtId="194" formatCode="[$-404]e&quot;年&quot;mm&quot;月&quot;dd&quot;日&quot;;@"/>
    <numFmt numFmtId="206" formatCode="0_ "/>
  </numFmts>
  <fonts count="1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58"/>
      <name val="新細明體"/>
      <family val="1"/>
      <charset val="136"/>
    </font>
    <font>
      <sz val="12"/>
      <color indexed="9"/>
      <name val="標楷體"/>
      <family val="4"/>
      <charset val="136"/>
    </font>
    <font>
      <sz val="12"/>
      <name val="標楷體"/>
      <family val="4"/>
      <charset val="136"/>
    </font>
    <font>
      <sz val="10"/>
      <name val="Times New Roman"/>
      <family val="1"/>
    </font>
    <font>
      <sz val="12"/>
      <color indexed="18"/>
      <name val="新細明體"/>
      <family val="1"/>
      <charset val="136"/>
    </font>
    <font>
      <b/>
      <sz val="10"/>
      <color indexed="53"/>
      <name val="Times New Roman"/>
      <family val="1"/>
    </font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新細明體"/>
      <family val="1"/>
      <charset val="136"/>
    </font>
    <font>
      <b/>
      <i/>
      <sz val="12"/>
      <name val="新細明體"/>
      <family val="1"/>
      <charset val="136"/>
    </font>
    <font>
      <sz val="12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4"/>
        <bgColor indexed="15"/>
      </patternFill>
    </fill>
    <fill>
      <patternFill patternType="solid">
        <fgColor indexed="17"/>
        <bgColor indexed="24"/>
      </patternFill>
    </fill>
    <fill>
      <patternFill patternType="solid">
        <fgColor indexed="57"/>
        <bgColor indexed="2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3" applyNumberFormat="1" applyFont="1" applyFill="1" applyBorder="1" applyAlignment="1"/>
    <xf numFmtId="0" fontId="4" fillId="0" borderId="0" xfId="3" applyNumberFormat="1" applyFont="1" applyFill="1" applyBorder="1" applyAlignment="1"/>
    <xf numFmtId="0" fontId="5" fillId="0" borderId="0" xfId="3" applyFont="1"/>
    <xf numFmtId="0" fontId="6" fillId="2" borderId="0" xfId="3" applyFont="1" applyFill="1" applyAlignment="1">
      <alignment horizontal="center"/>
    </xf>
    <xf numFmtId="0" fontId="7" fillId="3" borderId="0" xfId="3" applyFont="1" applyFill="1" applyAlignment="1">
      <alignment horizontal="center"/>
    </xf>
    <xf numFmtId="0" fontId="8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10" fillId="0" borderId="0" xfId="0" applyFont="1">
      <alignment vertical="center"/>
    </xf>
    <xf numFmtId="192" fontId="12" fillId="7" borderId="0" xfId="1" applyNumberFormat="1" applyFont="1" applyFill="1" applyBorder="1" applyAlignment="1"/>
    <xf numFmtId="0" fontId="13" fillId="8" borderId="3" xfId="2" applyFont="1" applyFill="1" applyBorder="1" applyAlignment="1">
      <alignment horizontal="center" vertical="center" wrapText="1"/>
    </xf>
    <xf numFmtId="0" fontId="13" fillId="8" borderId="4" xfId="2" applyFont="1" applyFill="1" applyBorder="1" applyAlignment="1">
      <alignment horizontal="center" vertical="center" wrapText="1"/>
    </xf>
    <xf numFmtId="0" fontId="14" fillId="0" borderId="0" xfId="3" applyFont="1"/>
    <xf numFmtId="0" fontId="14" fillId="0" borderId="0" xfId="0" applyFont="1">
      <alignment vertical="center"/>
    </xf>
    <xf numFmtId="0" fontId="14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3" applyFont="1"/>
    <xf numFmtId="0" fontId="16" fillId="0" borderId="0" xfId="0" applyFont="1">
      <alignment vertical="center"/>
    </xf>
    <xf numFmtId="0" fontId="13" fillId="2" borderId="0" xfId="3" applyFont="1" applyFill="1" applyAlignment="1">
      <alignment horizontal="center"/>
    </xf>
    <xf numFmtId="0" fontId="14" fillId="3" borderId="0" xfId="3" applyFont="1" applyFill="1" applyAlignment="1">
      <alignment horizontal="center"/>
    </xf>
    <xf numFmtId="176" fontId="14" fillId="5" borderId="0" xfId="4" applyNumberFormat="1" applyFont="1" applyFill="1" applyAlignment="1">
      <alignment horizontal="center"/>
    </xf>
    <xf numFmtId="176" fontId="9" fillId="0" borderId="3" xfId="3" applyNumberFormat="1" applyFont="1" applyFill="1" applyBorder="1" applyAlignment="1">
      <alignment horizontal="left"/>
    </xf>
    <xf numFmtId="176" fontId="14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176" fontId="9" fillId="0" borderId="3" xfId="3" applyNumberFormat="1" applyFont="1" applyFill="1" applyBorder="1" applyAlignment="1">
      <alignment horizontal="center"/>
    </xf>
    <xf numFmtId="0" fontId="14" fillId="5" borderId="0" xfId="1" applyFont="1" applyFill="1"/>
    <xf numFmtId="0" fontId="14" fillId="5" borderId="3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0" borderId="3" xfId="0" applyFont="1" applyBorder="1">
      <alignment vertical="center"/>
    </xf>
    <xf numFmtId="206" fontId="14" fillId="0" borderId="3" xfId="0" applyNumberFormat="1" applyFont="1" applyBorder="1">
      <alignment vertical="center"/>
    </xf>
    <xf numFmtId="9" fontId="14" fillId="0" borderId="3" xfId="0" applyNumberFormat="1" applyFont="1" applyBorder="1">
      <alignment vertical="center"/>
    </xf>
    <xf numFmtId="0" fontId="14" fillId="3" borderId="3" xfId="0" applyFont="1" applyFill="1" applyBorder="1" applyAlignment="1">
      <alignment horizontal="center" vertical="center" wrapText="1"/>
    </xf>
    <xf numFmtId="192" fontId="14" fillId="0" borderId="0" xfId="1" applyNumberFormat="1" applyFont="1"/>
    <xf numFmtId="0" fontId="14" fillId="0" borderId="0" xfId="1" applyFont="1"/>
    <xf numFmtId="2" fontId="13" fillId="9" borderId="5" xfId="1" applyNumberFormat="1" applyFont="1" applyFill="1" applyBorder="1" applyAlignment="1">
      <alignment horizontal="center"/>
    </xf>
    <xf numFmtId="2" fontId="13" fillId="9" borderId="5" xfId="1" applyNumberFormat="1" applyFont="1" applyFill="1" applyBorder="1" applyAlignment="1">
      <alignment horizontal="left"/>
    </xf>
    <xf numFmtId="2" fontId="13" fillId="9" borderId="5" xfId="1" applyNumberFormat="1" applyFont="1" applyFill="1" applyBorder="1" applyAlignment="1">
      <alignment horizontal="right"/>
    </xf>
    <xf numFmtId="194" fontId="14" fillId="5" borderId="0" xfId="1" applyNumberFormat="1" applyFont="1" applyFill="1" applyAlignment="1">
      <alignment horizontal="left"/>
    </xf>
    <xf numFmtId="0" fontId="14" fillId="0" borderId="0" xfId="1" applyNumberFormat="1" applyFont="1"/>
    <xf numFmtId="0" fontId="14" fillId="4" borderId="3" xfId="2" applyFont="1" applyFill="1" applyBorder="1" applyAlignment="1">
      <alignment horizontal="center"/>
    </xf>
    <xf numFmtId="0" fontId="13" fillId="9" borderId="0" xfId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</cellXfs>
  <cellStyles count="5">
    <cellStyle name="一般" xfId="0" builtinId="0"/>
    <cellStyle name="一般_建立運算模式" xfId="1"/>
    <cellStyle name="一般_學生成績" xfId="2"/>
    <cellStyle name="一般_簡單工作表模式" xfId="3"/>
    <cellStyle name="千分位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"/>
  <sheetViews>
    <sheetView showGridLines="0" tabSelected="1" workbookViewId="0"/>
  </sheetViews>
  <sheetFormatPr defaultRowHeight="16.2"/>
  <cols>
    <col min="1" max="1" width="15.109375" style="17" customWidth="1"/>
    <col min="2" max="2" width="8.44140625" style="17" bestFit="1" customWidth="1"/>
    <col min="3" max="6" width="9.77734375" style="17" bestFit="1" customWidth="1"/>
    <col min="7" max="7" width="8.88671875" style="17"/>
    <col min="8" max="8" width="8.44140625" style="17" bestFit="1" customWidth="1"/>
    <col min="9" max="11" width="8" style="17" customWidth="1"/>
    <col min="12" max="16384" width="8.88671875" style="17"/>
  </cols>
  <sheetData>
    <row r="1" spans="1:11">
      <c r="A1" s="1" t="s">
        <v>65</v>
      </c>
      <c r="B1" s="16"/>
      <c r="C1" s="16"/>
      <c r="D1" s="16"/>
      <c r="E1" s="16"/>
      <c r="F1" s="16"/>
      <c r="I1" s="18"/>
    </row>
    <row r="2" spans="1:11">
      <c r="A2" s="2" t="str">
        <f ca="1">TEXT(TODAY(),"ee"&amp;"年業務員業績獎金分析(單位萬)")</f>
        <v>102年業務員業績獎金分析(單位萬)</v>
      </c>
      <c r="B2" s="16"/>
      <c r="C2" s="16"/>
      <c r="D2" s="16"/>
      <c r="E2" s="16"/>
      <c r="F2" s="16"/>
    </row>
    <row r="3" spans="1:11">
      <c r="A3" s="3"/>
      <c r="B3" s="16"/>
      <c r="C3" s="16"/>
      <c r="D3" s="16"/>
      <c r="E3" s="16"/>
      <c r="F3" s="16"/>
    </row>
    <row r="4" spans="1:11" s="21" customFormat="1">
      <c r="A4" s="19"/>
      <c r="B4" s="20"/>
      <c r="C4" s="20"/>
      <c r="D4" s="20"/>
      <c r="E4" s="20"/>
      <c r="F4" s="20"/>
    </row>
    <row r="5" spans="1:11">
      <c r="A5" s="22" t="s">
        <v>59</v>
      </c>
      <c r="B5" s="22" t="s">
        <v>60</v>
      </c>
      <c r="C5" s="22" t="s">
        <v>0</v>
      </c>
      <c r="D5" s="22" t="s">
        <v>1</v>
      </c>
      <c r="E5" s="22" t="s">
        <v>2</v>
      </c>
      <c r="F5" s="22" t="s">
        <v>61</v>
      </c>
      <c r="H5" s="22" t="s">
        <v>44</v>
      </c>
      <c r="I5" s="22" t="s">
        <v>13</v>
      </c>
      <c r="J5" s="22" t="s">
        <v>62</v>
      </c>
      <c r="K5" s="22" t="s">
        <v>63</v>
      </c>
    </row>
    <row r="6" spans="1:11">
      <c r="A6" s="23" t="s">
        <v>3</v>
      </c>
      <c r="B6" s="24">
        <v>175</v>
      </c>
      <c r="C6" s="24">
        <v>645</v>
      </c>
      <c r="D6" s="24">
        <v>520</v>
      </c>
      <c r="E6" s="24">
        <v>520</v>
      </c>
      <c r="F6" s="25"/>
      <c r="G6" s="26"/>
      <c r="H6" s="23" t="s">
        <v>8</v>
      </c>
      <c r="I6" s="27">
        <f t="shared" ref="I6:J13" ca="1" si="0">RANDBETWEEN(80,95)</f>
        <v>87</v>
      </c>
      <c r="J6" s="28">
        <f t="shared" ca="1" si="0"/>
        <v>95</v>
      </c>
      <c r="K6" s="29">
        <f t="shared" ref="K6:K13" ca="1" si="1">SUM(I6:J6)</f>
        <v>182</v>
      </c>
    </row>
    <row r="7" spans="1:11">
      <c r="A7" s="23" t="s">
        <v>4</v>
      </c>
      <c r="B7" s="24">
        <v>80</v>
      </c>
      <c r="C7" s="24">
        <v>295</v>
      </c>
      <c r="D7" s="24">
        <v>920</v>
      </c>
      <c r="E7" s="24">
        <v>645</v>
      </c>
      <c r="F7" s="25"/>
      <c r="H7" s="23" t="s">
        <v>9</v>
      </c>
      <c r="I7" s="27">
        <f t="shared" ca="1" si="0"/>
        <v>82</v>
      </c>
      <c r="J7" s="28">
        <f t="shared" ca="1" si="0"/>
        <v>95</v>
      </c>
      <c r="K7" s="29">
        <f t="shared" ca="1" si="1"/>
        <v>177</v>
      </c>
    </row>
    <row r="8" spans="1:11">
      <c r="A8" s="23" t="s">
        <v>5</v>
      </c>
      <c r="B8" s="24">
        <v>120</v>
      </c>
      <c r="C8" s="24">
        <v>340</v>
      </c>
      <c r="D8" s="24">
        <v>735</v>
      </c>
      <c r="E8" s="24">
        <v>950</v>
      </c>
      <c r="F8" s="25"/>
      <c r="H8" s="23" t="s">
        <v>5</v>
      </c>
      <c r="I8" s="27">
        <f t="shared" ca="1" si="0"/>
        <v>90</v>
      </c>
      <c r="J8" s="28">
        <f t="shared" ca="1" si="0"/>
        <v>83</v>
      </c>
      <c r="K8" s="29">
        <f t="shared" ca="1" si="1"/>
        <v>173</v>
      </c>
    </row>
    <row r="9" spans="1:11">
      <c r="A9" s="23" t="s">
        <v>6</v>
      </c>
      <c r="B9" s="24">
        <v>325</v>
      </c>
      <c r="C9" s="24">
        <v>125</v>
      </c>
      <c r="D9" s="24">
        <v>605</v>
      </c>
      <c r="E9" s="24">
        <v>415</v>
      </c>
      <c r="F9" s="25"/>
      <c r="H9" s="23" t="s">
        <v>3</v>
      </c>
      <c r="I9" s="27">
        <f t="shared" ca="1" si="0"/>
        <v>85</v>
      </c>
      <c r="J9" s="28">
        <f t="shared" ca="1" si="0"/>
        <v>92</v>
      </c>
      <c r="K9" s="29">
        <f t="shared" ca="1" si="1"/>
        <v>177</v>
      </c>
    </row>
    <row r="10" spans="1:11">
      <c r="A10" s="22" t="s">
        <v>64</v>
      </c>
      <c r="B10" s="30"/>
      <c r="C10" s="30"/>
      <c r="D10" s="30"/>
      <c r="E10" s="30"/>
      <c r="F10" s="25"/>
      <c r="H10" s="23" t="s">
        <v>7</v>
      </c>
      <c r="I10" s="27">
        <f t="shared" ca="1" si="0"/>
        <v>83</v>
      </c>
      <c r="J10" s="28">
        <f t="shared" ca="1" si="0"/>
        <v>91</v>
      </c>
      <c r="K10" s="29">
        <f t="shared" ca="1" si="1"/>
        <v>174</v>
      </c>
    </row>
    <row r="11" spans="1:11">
      <c r="H11" s="23" t="s">
        <v>6</v>
      </c>
      <c r="I11" s="27">
        <f t="shared" ca="1" si="0"/>
        <v>91</v>
      </c>
      <c r="J11" s="28">
        <f t="shared" ca="1" si="0"/>
        <v>84</v>
      </c>
      <c r="K11" s="29">
        <f t="shared" ca="1" si="1"/>
        <v>175</v>
      </c>
    </row>
    <row r="12" spans="1:11">
      <c r="H12" s="23" t="s">
        <v>4</v>
      </c>
      <c r="I12" s="27">
        <f t="shared" ca="1" si="0"/>
        <v>84</v>
      </c>
      <c r="J12" s="28">
        <f t="shared" ca="1" si="0"/>
        <v>86</v>
      </c>
      <c r="K12" s="29">
        <f t="shared" ca="1" si="1"/>
        <v>170</v>
      </c>
    </row>
    <row r="13" spans="1:11">
      <c r="H13" s="23" t="s">
        <v>10</v>
      </c>
      <c r="I13" s="27">
        <f t="shared" ca="1" si="0"/>
        <v>88</v>
      </c>
      <c r="J13" s="28">
        <f t="shared" ca="1" si="0"/>
        <v>80</v>
      </c>
      <c r="K13" s="29">
        <f t="shared" ca="1" si="1"/>
        <v>168</v>
      </c>
    </row>
    <row r="16" spans="1:11">
      <c r="H16" s="22" t="s">
        <v>44</v>
      </c>
      <c r="I16" s="22" t="s">
        <v>13</v>
      </c>
    </row>
    <row r="17" spans="8:9">
      <c r="H17" s="23" t="s">
        <v>8</v>
      </c>
      <c r="I17" s="27">
        <f ca="1">RANDBETWEEN(80,95)</f>
        <v>83</v>
      </c>
    </row>
    <row r="18" spans="8:9">
      <c r="H18" s="23" t="s">
        <v>9</v>
      </c>
      <c r="I18" s="27">
        <f ca="1">RANDBETWEEN(80,95)</f>
        <v>81</v>
      </c>
    </row>
    <row r="19" spans="8:9">
      <c r="H19" s="23" t="s">
        <v>5</v>
      </c>
      <c r="I19" s="27">
        <f ca="1">RANDBETWEEN(80,95)</f>
        <v>87</v>
      </c>
    </row>
    <row r="20" spans="8:9">
      <c r="H20" s="23" t="s">
        <v>3</v>
      </c>
      <c r="I20" s="27">
        <f ca="1">RANDBETWEEN(80,95)</f>
        <v>95</v>
      </c>
    </row>
    <row r="21" spans="8:9">
      <c r="H21" s="22" t="s">
        <v>63</v>
      </c>
      <c r="I21" s="17">
        <f ca="1">I17+I18+I19+I20</f>
        <v>346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showGridLines="0" workbookViewId="0">
      <selection activeCell="M6" sqref="M6"/>
    </sheetView>
  </sheetViews>
  <sheetFormatPr defaultRowHeight="16.2"/>
  <cols>
    <col min="1" max="1" width="8.21875" style="17" bestFit="1" customWidth="1"/>
    <col min="2" max="2" width="10.44140625" style="17" customWidth="1"/>
    <col min="3" max="6" width="10.77734375" style="17" customWidth="1"/>
    <col min="7" max="9" width="12.44140625" style="17" customWidth="1"/>
    <col min="10" max="10" width="32.33203125" style="17" bestFit="1" customWidth="1"/>
    <col min="11" max="16384" width="8.88671875" style="17"/>
  </cols>
  <sheetData>
    <row r="1" spans="1:9">
      <c r="A1" s="14" t="s">
        <v>43</v>
      </c>
      <c r="B1" s="14" t="s">
        <v>44</v>
      </c>
      <c r="C1" s="14" t="s">
        <v>45</v>
      </c>
      <c r="D1" s="14" t="s">
        <v>46</v>
      </c>
      <c r="E1" s="14" t="s">
        <v>47</v>
      </c>
      <c r="F1" s="14" t="s">
        <v>13</v>
      </c>
      <c r="G1" s="15" t="s">
        <v>48</v>
      </c>
      <c r="H1" s="15" t="s">
        <v>49</v>
      </c>
      <c r="I1" s="15" t="s">
        <v>50</v>
      </c>
    </row>
    <row r="2" spans="1:9">
      <c r="A2" s="32" t="s">
        <v>51</v>
      </c>
      <c r="B2" s="33" t="s">
        <v>29</v>
      </c>
      <c r="C2" s="45">
        <v>82</v>
      </c>
      <c r="D2" s="45">
        <v>92</v>
      </c>
      <c r="E2" s="45">
        <v>77</v>
      </c>
      <c r="F2" s="45">
        <v>68</v>
      </c>
      <c r="G2" s="34"/>
      <c r="H2" s="35">
        <f>G2*I2</f>
        <v>0</v>
      </c>
      <c r="I2" s="36">
        <v>0.92</v>
      </c>
    </row>
    <row r="3" spans="1:9">
      <c r="A3" s="32" t="s">
        <v>30</v>
      </c>
      <c r="B3" s="33" t="s">
        <v>31</v>
      </c>
      <c r="C3" s="45">
        <v>97</v>
      </c>
      <c r="D3" s="45">
        <v>65</v>
      </c>
      <c r="E3" s="45">
        <v>83</v>
      </c>
      <c r="F3" s="45">
        <v>93</v>
      </c>
      <c r="G3" s="34"/>
      <c r="H3" s="34"/>
      <c r="I3" s="34"/>
    </row>
    <row r="4" spans="1:9">
      <c r="A4" s="32" t="s">
        <v>32</v>
      </c>
      <c r="B4" s="33" t="s">
        <v>33</v>
      </c>
      <c r="C4" s="45">
        <v>89</v>
      </c>
      <c r="D4" s="45">
        <v>72</v>
      </c>
      <c r="E4" s="45">
        <v>94</v>
      </c>
      <c r="F4" s="45">
        <v>89</v>
      </c>
      <c r="G4" s="34"/>
      <c r="H4" s="34"/>
      <c r="I4" s="34"/>
    </row>
    <row r="5" spans="1:9">
      <c r="A5" s="32" t="s">
        <v>34</v>
      </c>
      <c r="B5" s="33" t="s">
        <v>35</v>
      </c>
      <c r="C5" s="45">
        <v>99</v>
      </c>
      <c r="D5" s="45">
        <v>90</v>
      </c>
      <c r="E5" s="45">
        <v>77</v>
      </c>
      <c r="F5" s="45">
        <v>88</v>
      </c>
      <c r="G5" s="34"/>
      <c r="H5" s="34"/>
      <c r="I5" s="34"/>
    </row>
    <row r="6" spans="1:9">
      <c r="A6" s="32" t="s">
        <v>36</v>
      </c>
      <c r="B6" s="33" t="s">
        <v>52</v>
      </c>
      <c r="C6" s="45">
        <v>89</v>
      </c>
      <c r="D6" s="45">
        <v>79</v>
      </c>
      <c r="E6" s="45">
        <v>94</v>
      </c>
      <c r="F6" s="45">
        <v>97</v>
      </c>
      <c r="G6" s="34"/>
      <c r="H6" s="34"/>
      <c r="I6" s="34"/>
    </row>
    <row r="7" spans="1:9">
      <c r="A7" s="32" t="s">
        <v>37</v>
      </c>
      <c r="B7" s="37" t="s">
        <v>53</v>
      </c>
      <c r="C7" s="45">
        <v>94</v>
      </c>
      <c r="D7" s="45">
        <v>73</v>
      </c>
      <c r="E7" s="45">
        <v>88</v>
      </c>
      <c r="F7" s="45">
        <v>94</v>
      </c>
      <c r="G7" s="34"/>
      <c r="H7" s="34"/>
      <c r="I7" s="34"/>
    </row>
    <row r="8" spans="1:9">
      <c r="A8" s="32" t="s">
        <v>38</v>
      </c>
      <c r="B8" s="37" t="s">
        <v>54</v>
      </c>
      <c r="C8" s="45">
        <v>77</v>
      </c>
      <c r="D8" s="45">
        <v>93</v>
      </c>
      <c r="E8" s="45">
        <v>93</v>
      </c>
      <c r="F8" s="45">
        <v>94</v>
      </c>
      <c r="G8" s="34"/>
      <c r="H8" s="34"/>
      <c r="I8" s="34"/>
    </row>
    <row r="9" spans="1:9">
      <c r="A9" s="32" t="s">
        <v>39</v>
      </c>
      <c r="B9" s="37" t="s">
        <v>55</v>
      </c>
      <c r="C9" s="45">
        <v>68</v>
      </c>
      <c r="D9" s="45">
        <v>92</v>
      </c>
      <c r="E9" s="45">
        <v>97</v>
      </c>
      <c r="F9" s="45">
        <v>83</v>
      </c>
      <c r="G9" s="34"/>
      <c r="H9" s="34"/>
      <c r="I9" s="34"/>
    </row>
    <row r="10" spans="1:9">
      <c r="A10" s="32" t="s">
        <v>40</v>
      </c>
      <c r="B10" s="37" t="s">
        <v>56</v>
      </c>
      <c r="C10" s="45">
        <v>88</v>
      </c>
      <c r="D10" s="45">
        <v>87</v>
      </c>
      <c r="E10" s="45">
        <v>89</v>
      </c>
      <c r="F10" s="45">
        <v>82</v>
      </c>
      <c r="G10" s="34"/>
      <c r="H10" s="34"/>
      <c r="I10" s="34"/>
    </row>
    <row r="11" spans="1:9">
      <c r="A11" s="32" t="s">
        <v>41</v>
      </c>
      <c r="B11" s="37" t="s">
        <v>57</v>
      </c>
      <c r="C11" s="45">
        <v>83</v>
      </c>
      <c r="D11" s="45">
        <v>100</v>
      </c>
      <c r="E11" s="45">
        <v>68</v>
      </c>
      <c r="F11" s="45">
        <v>77</v>
      </c>
      <c r="G11" s="34"/>
      <c r="H11" s="34"/>
      <c r="I11" s="34"/>
    </row>
    <row r="12" spans="1:9">
      <c r="A12" s="32" t="s">
        <v>42</v>
      </c>
      <c r="B12" s="33" t="s">
        <v>58</v>
      </c>
      <c r="C12" s="45">
        <v>93</v>
      </c>
      <c r="D12" s="45">
        <v>72</v>
      </c>
      <c r="E12" s="45">
        <v>82</v>
      </c>
      <c r="F12" s="45">
        <v>77</v>
      </c>
      <c r="G12" s="34"/>
      <c r="H12" s="34"/>
      <c r="I12" s="34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topLeftCell="A10" workbookViewId="0">
      <selection activeCell="C6" sqref="C6"/>
    </sheetView>
  </sheetViews>
  <sheetFormatPr defaultColWidth="11" defaultRowHeight="16.2"/>
  <cols>
    <col min="1" max="1" width="15.77734375" style="39" bestFit="1" customWidth="1"/>
    <col min="2" max="2" width="9.5546875" style="39" customWidth="1"/>
    <col min="3" max="3" width="17.77734375" style="39" bestFit="1" customWidth="1"/>
    <col min="4" max="4" width="5.109375" style="39" bestFit="1" customWidth="1"/>
    <col min="5" max="5" width="5.6640625" style="39" bestFit="1" customWidth="1"/>
    <col min="6" max="6" width="7.109375" style="39" bestFit="1" customWidth="1"/>
    <col min="7" max="7" width="9.33203125" style="39" bestFit="1" customWidth="1"/>
    <col min="8" max="16384" width="11" style="39"/>
  </cols>
  <sheetData>
    <row r="1" spans="1:8">
      <c r="A1" s="46" t="s">
        <v>66</v>
      </c>
      <c r="B1" s="46"/>
      <c r="C1" s="46"/>
      <c r="D1" s="46"/>
      <c r="E1" s="46"/>
      <c r="F1" s="46"/>
      <c r="G1" s="46"/>
      <c r="H1" s="38"/>
    </row>
    <row r="2" spans="1:8" ht="16.8" thickBot="1">
      <c r="A2" s="40" t="s">
        <v>19</v>
      </c>
      <c r="B2" s="41" t="s">
        <v>20</v>
      </c>
      <c r="C2" s="41" t="s">
        <v>21</v>
      </c>
      <c r="D2" s="41" t="s">
        <v>22</v>
      </c>
      <c r="E2" s="42" t="s">
        <v>23</v>
      </c>
      <c r="F2" s="42" t="s">
        <v>24</v>
      </c>
      <c r="G2" s="42" t="s">
        <v>25</v>
      </c>
    </row>
    <row r="3" spans="1:8">
      <c r="A3" s="43">
        <f ca="1">TODAY()</f>
        <v>41474</v>
      </c>
      <c r="B3" s="31" t="s">
        <v>7</v>
      </c>
      <c r="C3" s="31" t="s">
        <v>70</v>
      </c>
      <c r="D3" s="31" t="s">
        <v>26</v>
      </c>
      <c r="E3" s="31">
        <v>20</v>
      </c>
      <c r="F3" s="31">
        <v>15</v>
      </c>
      <c r="G3" s="13">
        <f t="shared" ref="G3:G20" si="0">F3*E3</f>
        <v>300</v>
      </c>
    </row>
    <row r="4" spans="1:8">
      <c r="A4" s="43">
        <f t="shared" ref="A4:A20" ca="1" si="1">A3+ROUND(RAND()*10,0)</f>
        <v>41476</v>
      </c>
      <c r="B4" s="31" t="s">
        <v>67</v>
      </c>
      <c r="C4" s="31" t="s">
        <v>71</v>
      </c>
      <c r="D4" s="31" t="s">
        <v>27</v>
      </c>
      <c r="E4" s="31">
        <v>16</v>
      </c>
      <c r="F4" s="31">
        <v>20</v>
      </c>
      <c r="G4" s="13">
        <f t="shared" si="0"/>
        <v>320</v>
      </c>
    </row>
    <row r="5" spans="1:8">
      <c r="A5" s="43">
        <f t="shared" ca="1" si="1"/>
        <v>41480</v>
      </c>
      <c r="B5" s="31" t="s">
        <v>68</v>
      </c>
      <c r="C5" s="31" t="s">
        <v>71</v>
      </c>
      <c r="D5" s="31" t="s">
        <v>28</v>
      </c>
      <c r="E5" s="31">
        <v>16</v>
      </c>
      <c r="F5" s="31">
        <v>24</v>
      </c>
      <c r="G5" s="13">
        <f t="shared" si="0"/>
        <v>384</v>
      </c>
    </row>
    <row r="6" spans="1:8">
      <c r="A6" s="43">
        <f t="shared" ca="1" si="1"/>
        <v>41481</v>
      </c>
      <c r="B6" s="31" t="s">
        <v>69</v>
      </c>
      <c r="C6" s="31" t="s">
        <v>72</v>
      </c>
      <c r="D6" s="31" t="s">
        <v>26</v>
      </c>
      <c r="E6" s="31">
        <v>16</v>
      </c>
      <c r="F6" s="31">
        <v>25</v>
      </c>
      <c r="G6" s="13">
        <f t="shared" si="0"/>
        <v>400</v>
      </c>
    </row>
    <row r="7" spans="1:8">
      <c r="A7" s="43">
        <f t="shared" ca="1" si="1"/>
        <v>41487</v>
      </c>
      <c r="B7" s="31" t="s">
        <v>69</v>
      </c>
      <c r="C7" s="31" t="s">
        <v>70</v>
      </c>
      <c r="D7" s="31" t="s">
        <v>28</v>
      </c>
      <c r="E7" s="31">
        <v>25</v>
      </c>
      <c r="F7" s="31">
        <v>21</v>
      </c>
      <c r="G7" s="13">
        <f t="shared" si="0"/>
        <v>525</v>
      </c>
    </row>
    <row r="8" spans="1:8">
      <c r="A8" s="43">
        <f t="shared" ca="1" si="1"/>
        <v>41488</v>
      </c>
      <c r="B8" s="31" t="s">
        <v>7</v>
      </c>
      <c r="C8" s="31" t="s">
        <v>72</v>
      </c>
      <c r="D8" s="31" t="s">
        <v>26</v>
      </c>
      <c r="E8" s="31">
        <v>25</v>
      </c>
      <c r="F8" s="31">
        <v>16</v>
      </c>
      <c r="G8" s="13">
        <f t="shared" si="0"/>
        <v>400</v>
      </c>
    </row>
    <row r="9" spans="1:8">
      <c r="A9" s="43">
        <f t="shared" ca="1" si="1"/>
        <v>41489</v>
      </c>
      <c r="B9" s="31" t="s">
        <v>67</v>
      </c>
      <c r="C9" s="31" t="s">
        <v>70</v>
      </c>
      <c r="D9" s="31" t="s">
        <v>27</v>
      </c>
      <c r="E9" s="31">
        <v>20</v>
      </c>
      <c r="F9" s="31">
        <v>15</v>
      </c>
      <c r="G9" s="13">
        <f t="shared" si="0"/>
        <v>300</v>
      </c>
    </row>
    <row r="10" spans="1:8">
      <c r="A10" s="43">
        <f t="shared" ca="1" si="1"/>
        <v>41497</v>
      </c>
      <c r="B10" s="31" t="s">
        <v>68</v>
      </c>
      <c r="C10" s="31" t="s">
        <v>73</v>
      </c>
      <c r="D10" s="31" t="s">
        <v>28</v>
      </c>
      <c r="E10" s="31">
        <v>25</v>
      </c>
      <c r="F10" s="31">
        <v>18</v>
      </c>
      <c r="G10" s="13">
        <f t="shared" si="0"/>
        <v>450</v>
      </c>
    </row>
    <row r="11" spans="1:8">
      <c r="A11" s="43">
        <f t="shared" ca="1" si="1"/>
        <v>41507</v>
      </c>
      <c r="B11" s="31" t="s">
        <v>68</v>
      </c>
      <c r="C11" s="31" t="s">
        <v>73</v>
      </c>
      <c r="D11" s="31" t="s">
        <v>26</v>
      </c>
      <c r="E11" s="31">
        <v>16</v>
      </c>
      <c r="F11" s="31">
        <v>15</v>
      </c>
      <c r="G11" s="13">
        <f t="shared" si="0"/>
        <v>240</v>
      </c>
    </row>
    <row r="12" spans="1:8">
      <c r="A12" s="43">
        <f t="shared" ca="1" si="1"/>
        <v>41512</v>
      </c>
      <c r="B12" s="31" t="s">
        <v>7</v>
      </c>
      <c r="C12" s="31" t="s">
        <v>70</v>
      </c>
      <c r="D12" s="31" t="s">
        <v>28</v>
      </c>
      <c r="E12" s="31">
        <v>20</v>
      </c>
      <c r="F12" s="31">
        <v>24</v>
      </c>
      <c r="G12" s="13">
        <f t="shared" si="0"/>
        <v>480</v>
      </c>
    </row>
    <row r="13" spans="1:8">
      <c r="A13" s="43">
        <f t="shared" ca="1" si="1"/>
        <v>41517</v>
      </c>
      <c r="B13" s="31" t="s">
        <v>67</v>
      </c>
      <c r="C13" s="31" t="s">
        <v>71</v>
      </c>
      <c r="D13" s="31" t="s">
        <v>26</v>
      </c>
      <c r="E13" s="31">
        <v>16</v>
      </c>
      <c r="F13" s="31">
        <v>25</v>
      </c>
      <c r="G13" s="13">
        <f t="shared" si="0"/>
        <v>400</v>
      </c>
    </row>
    <row r="14" spans="1:8">
      <c r="A14" s="43">
        <f t="shared" ca="1" si="1"/>
        <v>41520</v>
      </c>
      <c r="B14" s="31" t="s">
        <v>68</v>
      </c>
      <c r="C14" s="31" t="s">
        <v>71</v>
      </c>
      <c r="D14" s="31" t="s">
        <v>28</v>
      </c>
      <c r="E14" s="31">
        <v>16</v>
      </c>
      <c r="F14" s="31">
        <v>21</v>
      </c>
      <c r="G14" s="13">
        <f t="shared" si="0"/>
        <v>336</v>
      </c>
    </row>
    <row r="15" spans="1:8">
      <c r="A15" s="43">
        <f t="shared" ca="1" si="1"/>
        <v>41522</v>
      </c>
      <c r="B15" s="31" t="s">
        <v>69</v>
      </c>
      <c r="C15" s="31" t="s">
        <v>72</v>
      </c>
      <c r="D15" s="31" t="s">
        <v>26</v>
      </c>
      <c r="E15" s="31">
        <v>16</v>
      </c>
      <c r="F15" s="31">
        <v>16</v>
      </c>
      <c r="G15" s="13">
        <f t="shared" si="0"/>
        <v>256</v>
      </c>
    </row>
    <row r="16" spans="1:8">
      <c r="A16" s="43">
        <f t="shared" ca="1" si="1"/>
        <v>41527</v>
      </c>
      <c r="B16" s="31" t="s">
        <v>69</v>
      </c>
      <c r="C16" s="31" t="s">
        <v>70</v>
      </c>
      <c r="D16" s="31" t="s">
        <v>27</v>
      </c>
      <c r="E16" s="31">
        <v>25</v>
      </c>
      <c r="F16" s="31">
        <v>15</v>
      </c>
      <c r="G16" s="13">
        <f t="shared" si="0"/>
        <v>375</v>
      </c>
    </row>
    <row r="17" spans="1:7">
      <c r="A17" s="43">
        <f t="shared" ca="1" si="1"/>
        <v>41531</v>
      </c>
      <c r="B17" s="31" t="s">
        <v>7</v>
      </c>
      <c r="C17" s="31" t="s">
        <v>72</v>
      </c>
      <c r="D17" s="31" t="s">
        <v>28</v>
      </c>
      <c r="E17" s="31">
        <v>25</v>
      </c>
      <c r="F17" s="31">
        <v>18</v>
      </c>
      <c r="G17" s="13">
        <f t="shared" si="0"/>
        <v>450</v>
      </c>
    </row>
    <row r="18" spans="1:7">
      <c r="A18" s="43">
        <f t="shared" ca="1" si="1"/>
        <v>41536</v>
      </c>
      <c r="B18" s="31" t="s">
        <v>68</v>
      </c>
      <c r="C18" s="31" t="s">
        <v>70</v>
      </c>
      <c r="D18" s="31" t="s">
        <v>26</v>
      </c>
      <c r="E18" s="31">
        <v>20</v>
      </c>
      <c r="F18" s="31">
        <v>15</v>
      </c>
      <c r="G18" s="13">
        <f t="shared" si="0"/>
        <v>300</v>
      </c>
    </row>
    <row r="19" spans="1:7">
      <c r="A19" s="43">
        <f t="shared" ca="1" si="1"/>
        <v>41538</v>
      </c>
      <c r="B19" s="31" t="s">
        <v>7</v>
      </c>
      <c r="C19" s="31" t="s">
        <v>73</v>
      </c>
      <c r="D19" s="31" t="s">
        <v>26</v>
      </c>
      <c r="E19" s="31">
        <v>25</v>
      </c>
      <c r="F19" s="31">
        <v>18</v>
      </c>
      <c r="G19" s="13">
        <f t="shared" si="0"/>
        <v>450</v>
      </c>
    </row>
    <row r="20" spans="1:7">
      <c r="A20" s="43">
        <f t="shared" ca="1" si="1"/>
        <v>41547</v>
      </c>
      <c r="B20" s="31" t="s">
        <v>67</v>
      </c>
      <c r="C20" s="31" t="s">
        <v>73</v>
      </c>
      <c r="D20" s="31" t="s">
        <v>28</v>
      </c>
      <c r="E20" s="31">
        <v>16</v>
      </c>
      <c r="F20" s="31">
        <v>15</v>
      </c>
      <c r="G20" s="13">
        <f t="shared" si="0"/>
        <v>240</v>
      </c>
    </row>
    <row r="21" spans="1:7">
      <c r="A21" s="38"/>
      <c r="B21" s="44"/>
      <c r="C21" s="38"/>
      <c r="G21" s="38">
        <f t="array" ref="G21">SUM(IF($B$3:$B$20="陳玉玲",IF($F$3:$F$20&gt;20,$G$3:$G$20,0),0))</f>
        <v>480</v>
      </c>
    </row>
  </sheetData>
  <mergeCells count="1">
    <mergeCell ref="A1:G1"/>
  </mergeCells>
  <phoneticPr fontId="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showGridLines="0" workbookViewId="0">
      <selection activeCell="F12" sqref="F12"/>
    </sheetView>
  </sheetViews>
  <sheetFormatPr defaultRowHeight="16.2"/>
  <sheetData>
    <row r="1" spans="1:4">
      <c r="A1" s="47" t="s">
        <v>15</v>
      </c>
      <c r="B1" s="47"/>
      <c r="C1" s="47"/>
      <c r="D1" s="47"/>
    </row>
    <row r="2" spans="1:4">
      <c r="A2" s="4" t="s">
        <v>11</v>
      </c>
      <c r="B2" s="4" t="s">
        <v>13</v>
      </c>
      <c r="C2" s="4" t="s">
        <v>12</v>
      </c>
      <c r="D2" s="4" t="s">
        <v>14</v>
      </c>
    </row>
    <row r="3" spans="1:4">
      <c r="A3" s="5" t="s">
        <v>8</v>
      </c>
      <c r="B3" s="7">
        <f t="shared" ref="B3:C10" ca="1" si="0">RANDBETWEEN(80,95)</f>
        <v>80</v>
      </c>
      <c r="C3" s="8">
        <f t="shared" ca="1" si="0"/>
        <v>84</v>
      </c>
      <c r="D3" s="9">
        <f t="shared" ref="D3:D10" ca="1" si="1">SUM(B3:C3)</f>
        <v>164</v>
      </c>
    </row>
    <row r="4" spans="1:4">
      <c r="A4" s="5" t="s">
        <v>9</v>
      </c>
      <c r="B4" s="7">
        <f t="shared" ca="1" si="0"/>
        <v>91</v>
      </c>
      <c r="C4" s="8">
        <f t="shared" ca="1" si="0"/>
        <v>93</v>
      </c>
      <c r="D4" s="9">
        <f t="shared" ca="1" si="1"/>
        <v>184</v>
      </c>
    </row>
    <row r="5" spans="1:4">
      <c r="A5" s="5" t="s">
        <v>5</v>
      </c>
      <c r="B5" s="7">
        <f t="shared" ca="1" si="0"/>
        <v>82</v>
      </c>
      <c r="C5" s="8">
        <f t="shared" ca="1" si="0"/>
        <v>92</v>
      </c>
      <c r="D5" s="9">
        <f t="shared" ca="1" si="1"/>
        <v>174</v>
      </c>
    </row>
    <row r="6" spans="1:4">
      <c r="A6" s="5" t="s">
        <v>3</v>
      </c>
      <c r="B6" s="7">
        <f t="shared" ca="1" si="0"/>
        <v>93</v>
      </c>
      <c r="C6" s="8">
        <f t="shared" ca="1" si="0"/>
        <v>84</v>
      </c>
      <c r="D6" s="9">
        <f t="shared" ca="1" si="1"/>
        <v>177</v>
      </c>
    </row>
    <row r="7" spans="1:4">
      <c r="A7" s="5" t="s">
        <v>7</v>
      </c>
      <c r="B7" s="7">
        <f t="shared" ca="1" si="0"/>
        <v>80</v>
      </c>
      <c r="C7" s="8">
        <f t="shared" ca="1" si="0"/>
        <v>81</v>
      </c>
      <c r="D7" s="9">
        <f t="shared" ca="1" si="1"/>
        <v>161</v>
      </c>
    </row>
    <row r="8" spans="1:4">
      <c r="A8" s="5" t="s">
        <v>6</v>
      </c>
      <c r="B8" s="7">
        <f t="shared" ca="1" si="0"/>
        <v>80</v>
      </c>
      <c r="C8" s="8">
        <f t="shared" ca="1" si="0"/>
        <v>86</v>
      </c>
      <c r="D8" s="9">
        <f t="shared" ca="1" si="1"/>
        <v>166</v>
      </c>
    </row>
    <row r="9" spans="1:4">
      <c r="A9" s="5" t="s">
        <v>4</v>
      </c>
      <c r="B9" s="7">
        <f t="shared" ca="1" si="0"/>
        <v>90</v>
      </c>
      <c r="C9" s="8">
        <f t="shared" ca="1" si="0"/>
        <v>84</v>
      </c>
      <c r="D9" s="9">
        <f t="shared" ca="1" si="1"/>
        <v>174</v>
      </c>
    </row>
    <row r="10" spans="1:4">
      <c r="A10" s="5" t="s">
        <v>10</v>
      </c>
      <c r="B10" s="7">
        <f t="shared" ca="1" si="0"/>
        <v>94</v>
      </c>
      <c r="C10" s="8">
        <f t="shared" ca="1" si="0"/>
        <v>86</v>
      </c>
      <c r="D10" s="9">
        <f t="shared" ca="1" si="1"/>
        <v>180</v>
      </c>
    </row>
    <row r="12" spans="1:4">
      <c r="A12" s="5" t="s">
        <v>16</v>
      </c>
      <c r="B12" s="10"/>
    </row>
    <row r="13" spans="1:4">
      <c r="A13" s="5" t="s">
        <v>17</v>
      </c>
      <c r="B13" s="11"/>
    </row>
    <row r="15" spans="1:4">
      <c r="A15" s="5" t="s">
        <v>18</v>
      </c>
      <c r="B15" s="12"/>
    </row>
    <row r="17" spans="2:2">
      <c r="B17" s="6">
        <f ca="1">AVERAGE(B3,MAX(B5:C10))</f>
        <v>87</v>
      </c>
    </row>
  </sheetData>
  <mergeCells count="1">
    <mergeCell ref="A1:D1"/>
  </mergeCells>
  <phoneticPr fontId="3" type="noConversion"/>
  <pageMargins left="0.75" right="0.75" top="1" bottom="1" header="0.5" footer="0.5"/>
  <pageSetup paperSize="269" orientation="landscape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公式與函數</vt:lpstr>
      <vt:lpstr>學生成績</vt:lpstr>
      <vt:lpstr>條件式加總</vt:lpstr>
      <vt:lpstr>使用函數好處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</dc:creator>
  <cp:lastModifiedBy>333888</cp:lastModifiedBy>
  <dcterms:created xsi:type="dcterms:W3CDTF">2005-06-30T07:34:32Z</dcterms:created>
  <dcterms:modified xsi:type="dcterms:W3CDTF">2013-07-19T06:04:33Z</dcterms:modified>
</cp:coreProperties>
</file>