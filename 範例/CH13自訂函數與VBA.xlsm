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改版\新範例檔案\"/>
    </mc:Choice>
  </mc:AlternateContent>
  <bookViews>
    <workbookView xWindow="120" yWindow="60" windowWidth="9135" windowHeight="3870" activeTab="1"/>
  </bookViews>
  <sheets>
    <sheet name="Macro1" sheetId="4" r:id="rId1"/>
    <sheet name="自訂函數" sheetId="1" r:id="rId2"/>
    <sheet name="第一週" sheetId="5" r:id="rId3"/>
    <sheet name="第二週" sheetId="6" r:id="rId4"/>
    <sheet name="第三週" sheetId="7" r:id="rId5"/>
    <sheet name="第四週" sheetId="8" r:id="rId6"/>
  </sheets>
  <functionGroups builtInGroupCount="18"/>
  <definedNames>
    <definedName name="半徑" localSheetId="0">Macro1!$B$2</definedName>
    <definedName name="金額" localSheetId="0">Macro1!$B$12</definedName>
    <definedName name="前N大平均" function="1" xlm="1" functionGroupId="14">Macro1!$A$25</definedName>
    <definedName name="前三大平均" function="1" xlm="1" functionGroupId="14">Macro1!$A$17</definedName>
    <definedName name="前幾名">Macro1!$A$37</definedName>
    <definedName name="美金轉換" function="1" xlm="1" functionGroupId="14">Macro1!$A$11</definedName>
    <definedName name="高" localSheetId="0">Macro1!$B$3</definedName>
    <definedName name="排名" localSheetId="0">Macro1!$B$27</definedName>
    <definedName name="現在時間">Macro1!$A$7</definedName>
    <definedName name="匯率" localSheetId="0">Macro1!$B$13</definedName>
    <definedName name="圓柱體體積" function="1" xlm="1" functionGroupId="14">Macro1!$A$1</definedName>
    <definedName name="資料" localSheetId="0">自訂函數!$H$2:$H$6</definedName>
  </definedNames>
  <calcPr calcId="152511"/>
</workbook>
</file>

<file path=xl/calcChain.xml><?xml version="1.0" encoding="utf-8"?>
<calcChain xmlns="http://schemas.openxmlformats.org/spreadsheetml/2006/main">
  <c r="E2" i="1" l="1"/>
  <c r="G11" i="1"/>
  <c r="K6" i="1" a="1"/>
  <c r="K6" i="1"/>
  <c r="K3" i="1" a="1"/>
  <c r="K3" i="1"/>
  <c r="K4" i="1" a="1"/>
  <c r="K4" i="1"/>
  <c r="K5" i="1" a="1"/>
  <c r="K5" i="1"/>
  <c r="K2" i="1" a="1"/>
  <c r="K2" i="1"/>
  <c r="B16" i="5"/>
  <c r="C16" i="5"/>
  <c r="D16" i="5"/>
  <c r="E16" i="5"/>
  <c r="F16" i="5"/>
  <c r="G16" i="5"/>
  <c r="H2" i="5"/>
  <c r="H3" i="5"/>
  <c r="H4" i="5"/>
  <c r="H5" i="5"/>
  <c r="H6" i="5"/>
  <c r="H7" i="5"/>
  <c r="H8" i="5"/>
  <c r="H9" i="5"/>
  <c r="H10" i="5"/>
  <c r="H11" i="5"/>
  <c r="H12" i="5"/>
  <c r="H13" i="5"/>
  <c r="H14" i="5"/>
  <c r="H15" i="5"/>
  <c r="E5" i="1"/>
  <c r="E4" i="1"/>
  <c r="E3" i="1"/>
  <c r="B9" i="1"/>
  <c r="B10" i="1"/>
  <c r="B8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<sst xmlns="http://schemas.openxmlformats.org/spreadsheetml/2006/main" count="105" uniqueCount="42">
  <si>
    <t>圓柱體體積</t>
  </si>
  <si>
    <t>美金轉換</t>
  </si>
  <si>
    <t>現在時間</t>
  </si>
  <si>
    <t>前三大平均</t>
  </si>
  <si>
    <t>前N大平均</t>
  </si>
  <si>
    <t>姓名</t>
    <phoneticPr fontId="1" type="noConversion"/>
  </si>
  <si>
    <t>國文</t>
    <phoneticPr fontId="1" type="noConversion"/>
  </si>
  <si>
    <t>林宏諭</t>
    <phoneticPr fontId="1" type="noConversion"/>
  </si>
  <si>
    <t>陳偉忠</t>
    <phoneticPr fontId="1" type="noConversion"/>
  </si>
  <si>
    <t>莊慧玲</t>
    <phoneticPr fontId="1" type="noConversion"/>
  </si>
  <si>
    <t>陳友敬</t>
    <phoneticPr fontId="1" type="noConversion"/>
  </si>
  <si>
    <t>陳玉玲</t>
    <phoneticPr fontId="1" type="noConversion"/>
  </si>
  <si>
    <t>圓柱體體積</t>
    <phoneticPr fontId="1" type="noConversion"/>
  </si>
  <si>
    <t>星期一</t>
  </si>
  <si>
    <t>星期二</t>
  </si>
  <si>
    <t>星期三</t>
  </si>
  <si>
    <t>星期四</t>
  </si>
  <si>
    <t>星期五</t>
  </si>
  <si>
    <t>星期六</t>
  </si>
  <si>
    <t>東1店</t>
  </si>
  <si>
    <t>東2店</t>
  </si>
  <si>
    <t>東3店</t>
  </si>
  <si>
    <t>東4店</t>
  </si>
  <si>
    <t>西1店</t>
  </si>
  <si>
    <t>西2店</t>
  </si>
  <si>
    <t>西3店</t>
  </si>
  <si>
    <t>西4店</t>
  </si>
  <si>
    <t>南1店</t>
  </si>
  <si>
    <t>南2店</t>
  </si>
  <si>
    <t>南3店</t>
  </si>
  <si>
    <t>北1店</t>
  </si>
  <si>
    <t>北2店</t>
  </si>
  <si>
    <t>北3店</t>
  </si>
  <si>
    <t>前幾名</t>
  </si>
  <si>
    <t>使用者</t>
  </si>
  <si>
    <t>固定亂數</t>
    <phoneticPr fontId="1" type="noConversion"/>
  </si>
  <si>
    <t>固定亂數2</t>
    <phoneticPr fontId="1" type="noConversion"/>
  </si>
  <si>
    <t>開始日期</t>
    <phoneticPr fontId="1" type="noConversion"/>
  </si>
  <si>
    <t>結束日期</t>
    <phoneticPr fontId="1" type="noConversion"/>
  </si>
  <si>
    <t>年</t>
    <phoneticPr fontId="1" type="noConversion"/>
  </si>
  <si>
    <t>月</t>
    <phoneticPr fontId="1" type="noConversion"/>
  </si>
  <si>
    <t>日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</si>
</sst>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_ "/>
    <numFmt numFmtId="177" formatCode="&quot;前&quot;General&quot;大&quot;&quot;平&quot;&quot;均&quot;"/>
  </numFmts>
  <fonts count="7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18"/>
      <name val="新細明體"/>
      <family val="1"/>
      <charset val="136"/>
    </font>
    <font>
      <sz val="12"/>
      <name val="Times New Roman"/>
      <family val="1"/>
    </font>
    <font>
      <sz val="12"/>
      <color indexed="8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b/>
      <sz val="12"/>
      <color indexed="9"/>
      <name val="新細明體"/>
      <family val="1"/>
      <charset val="136"/>
    </font>
  </fonts>
  <fills count="8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24"/>
      </patternFill>
    </fill>
    <fill>
      <patternFill patternType="darkGray">
        <fgColor indexed="21"/>
        <bgColor indexed="17"/>
      </patternFill>
    </fill>
    <fill>
      <patternFill patternType="solid">
        <fgColor indexed="42"/>
        <bgColor indexed="2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23"/>
      </top>
      <bottom style="thick">
        <color indexed="23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1" xfId="0" applyBorder="1">
      <alignment vertical="center"/>
    </xf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4" borderId="0" xfId="0" applyFont="1" applyFill="1" applyAlignment="1">
      <alignment horizontal="center"/>
    </xf>
    <xf numFmtId="0" fontId="4" fillId="5" borderId="0" xfId="0" applyFont="1" applyFill="1" applyBorder="1" applyAlignment="1">
      <alignment vertical="center"/>
    </xf>
    <xf numFmtId="0" fontId="4" fillId="6" borderId="0" xfId="0" applyFont="1" applyFill="1" applyBorder="1" applyAlignment="1">
      <alignment vertical="center"/>
    </xf>
    <xf numFmtId="0" fontId="4" fillId="7" borderId="0" xfId="0" applyFont="1" applyFill="1" applyBorder="1" applyAlignment="1">
      <alignment vertical="center"/>
    </xf>
    <xf numFmtId="0" fontId="4" fillId="7" borderId="0" xfId="0" applyFont="1" applyFill="1" applyBorder="1" applyAlignment="1">
      <alignment horizontal="left" vertical="center"/>
    </xf>
    <xf numFmtId="0" fontId="4" fillId="5" borderId="0" xfId="0" applyFont="1" applyFill="1" applyBorder="1" applyAlignment="1">
      <alignment horizontal="left" vertical="center"/>
    </xf>
    <xf numFmtId="0" fontId="6" fillId="6" borderId="0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left" vertical="center"/>
    </xf>
    <xf numFmtId="0" fontId="4" fillId="5" borderId="2" xfId="0" applyFont="1" applyFill="1" applyBorder="1" applyAlignment="1">
      <alignment vertical="center"/>
    </xf>
    <xf numFmtId="176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quotePrefix="1">
      <alignment vertical="center"/>
    </xf>
    <xf numFmtId="0" fontId="0" fillId="0" borderId="1" xfId="0" applyBorder="1" applyAlignment="1">
      <alignment horizontal="left" vertical="center"/>
    </xf>
    <xf numFmtId="177" fontId="0" fillId="0" borderId="1" xfId="0" applyNumberFormat="1" applyBorder="1" applyAlignment="1">
      <alignment horizontal="left" vertical="center"/>
    </xf>
    <xf numFmtId="14" fontId="0" fillId="0" borderId="1" xfId="0" applyNumberFormat="1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macro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41"/>
  <sheetViews>
    <sheetView showFormulas="1" topLeftCell="A19" workbookViewId="0">
      <selection activeCell="B13" sqref="B13"/>
    </sheetView>
  </sheetViews>
  <sheetFormatPr defaultRowHeight="16.5"/>
  <cols>
    <col min="1" max="1" width="13.75" customWidth="1"/>
  </cols>
  <sheetData>
    <row r="1" spans="1:2">
      <c r="A1" t="s">
        <v>0</v>
      </c>
    </row>
    <row r="2" spans="1:2">
      <c r="A2" t="b">
        <f>ARGUMENT("半徑",1,B2)</f>
        <v>1</v>
      </c>
      <c r="B2">
        <v>3</v>
      </c>
    </row>
    <row r="3" spans="1:2">
      <c r="A3" t="b">
        <f>ARGUMENT("高",1,B3)</f>
        <v>1</v>
      </c>
      <c r="B3">
        <v>20</v>
      </c>
    </row>
    <row r="4" spans="1:2">
      <c r="A4">
        <f>PI()*半徑^2*高</f>
        <v>565.48667764616278</v>
      </c>
    </row>
    <row r="5" spans="1:2">
      <c r="A5" t="b">
        <f>RETURN(A4)</f>
        <v>1</v>
      </c>
    </row>
    <row r="7" spans="1:2">
      <c r="A7" t="s">
        <v>2</v>
      </c>
    </row>
    <row r="8" spans="1:2">
      <c r="A8" t="str">
        <f>"現在時間是:"&amp;TEXT(NOW(),"Geee年mm月DD日aaaa上午/下午h時mm分ss秒")</f>
        <v>現在時間是:民國102年07月22日星期一下午3時16分28秒</v>
      </c>
    </row>
    <row r="9" spans="1:2">
      <c r="A9" t="b">
        <f>RETURN(A8)</f>
        <v>1</v>
      </c>
    </row>
    <row r="11" spans="1:2">
      <c r="A11" t="s">
        <v>1</v>
      </c>
    </row>
    <row r="12" spans="1:2">
      <c r="A12" t="b">
        <f>ARGUMENT("金額",1,B12)</f>
        <v>1</v>
      </c>
      <c r="B12">
        <v>350</v>
      </c>
    </row>
    <row r="13" spans="1:2">
      <c r="A13" t="b">
        <f>ARGUMENT("匯率",1,B13)</f>
        <v>1</v>
      </c>
      <c r="B13">
        <v>32</v>
      </c>
    </row>
    <row r="14" spans="1:2">
      <c r="A14">
        <f>金額*匯率</f>
        <v>11200</v>
      </c>
    </row>
    <row r="15" spans="1:2">
      <c r="A15" t="b">
        <f>RETURN(A14)</f>
        <v>1</v>
      </c>
    </row>
    <row r="17" spans="1:2">
      <c r="A17" t="s">
        <v>3</v>
      </c>
    </row>
    <row r="18" spans="1:2">
      <c r="A18" t="b">
        <f>ARGUMENT("資料",8)</f>
        <v>1</v>
      </c>
    </row>
    <row r="19" spans="1:2">
      <c r="A19">
        <f>LARGE(資料,1)</f>
        <v>98</v>
      </c>
    </row>
    <row r="20" spans="1:2">
      <c r="A20">
        <f>LARGE(資料,2)</f>
        <v>92</v>
      </c>
    </row>
    <row r="21" spans="1:2">
      <c r="A21">
        <f>LARGE(資料,3)</f>
        <v>89</v>
      </c>
    </row>
    <row r="22" spans="1:2">
      <c r="A22">
        <f>AVERAGE(A19:A21)</f>
        <v>93</v>
      </c>
    </row>
    <row r="23" spans="1:2">
      <c r="A23" t="b">
        <f>RETURN(A22)</f>
        <v>1</v>
      </c>
    </row>
    <row r="25" spans="1:2">
      <c r="A25" t="s">
        <v>4</v>
      </c>
    </row>
    <row r="26" spans="1:2">
      <c r="A26" t="b">
        <f>ARGUMENT("資料",8)</f>
        <v>1</v>
      </c>
    </row>
    <row r="27" spans="1:2">
      <c r="A27" t="b">
        <f>ARGUMENT("排名",1,B27)</f>
        <v>1</v>
      </c>
      <c r="B27">
        <v>2</v>
      </c>
    </row>
    <row r="28" spans="1:2">
      <c r="A28">
        <f>LARGE(資料,排名)</f>
        <v>92</v>
      </c>
    </row>
    <row r="29" spans="1:2">
      <c r="A29">
        <f>LARGE(資料,排名-1)</f>
        <v>98</v>
      </c>
    </row>
    <row r="30" spans="1:2">
      <c r="A30" t="e">
        <f>LARGE(資料,排名-2)</f>
        <v>#NUM!</v>
      </c>
    </row>
    <row r="31" spans="1:2">
      <c r="A31" t="e">
        <f>LARGE(資料,排名-3)</f>
        <v>#NUM!</v>
      </c>
    </row>
    <row r="32" spans="1:2">
      <c r="A32" t="e">
        <f>LARGE(資料,排名-4)</f>
        <v>#NUM!</v>
      </c>
    </row>
    <row r="33" spans="1:2">
      <c r="A33">
        <f>CHOOSE(排名,A28,AVERAGE(A28:A29),AVERAGE(A28:A30), AVERAGE(A28:A31),AVERAGE(A28:A32))</f>
        <v>95</v>
      </c>
    </row>
    <row r="34" spans="1:2">
      <c r="A34" t="b">
        <f>RETURN(A33)</f>
        <v>1</v>
      </c>
    </row>
    <row r="37" spans="1:2">
      <c r="A37" t="s">
        <v>33</v>
      </c>
    </row>
    <row r="38" spans="1:2">
      <c r="A38" t="b">
        <f>ARGUMENT("資料",8)</f>
        <v>1</v>
      </c>
    </row>
    <row r="39" spans="1:2">
      <c r="A39" t="b">
        <f>ARGUMENT("排名",1,B39)</f>
        <v>1</v>
      </c>
      <c r="B39">
        <v>1</v>
      </c>
    </row>
    <row r="40" spans="1:2">
      <c r="A40">
        <f>SUM(OFFSET(資料,0,0,A39,1))</f>
        <v>98</v>
      </c>
    </row>
    <row r="41" spans="1:2">
      <c r="A41" t="b">
        <f>RETURN(A40)</f>
        <v>1</v>
      </c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xm:macrosheet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4"/>
  <sheetViews>
    <sheetView showGridLines="0" tabSelected="1" workbookViewId="0">
      <selection activeCell="B14" sqref="B14"/>
    </sheetView>
  </sheetViews>
  <sheetFormatPr defaultRowHeight="16.5"/>
  <cols>
    <col min="1" max="1" width="13" customWidth="1"/>
    <col min="2" max="2" width="52.5" customWidth="1"/>
    <col min="3" max="3" width="3.25" customWidth="1"/>
    <col min="4" max="4" width="10.5" bestFit="1" customWidth="1"/>
    <col min="5" max="5" width="10.5" customWidth="1"/>
    <col min="6" max="6" width="3.5" customWidth="1"/>
    <col min="7" max="7" width="8.25" bestFit="1" customWidth="1"/>
    <col min="8" max="8" width="6" bestFit="1" customWidth="1"/>
    <col min="9" max="9" width="5.75" customWidth="1"/>
    <col min="10" max="10" width="2.5" bestFit="1" customWidth="1"/>
    <col min="11" max="11" width="5.625" bestFit="1" customWidth="1"/>
  </cols>
  <sheetData>
    <row r="1" spans="1:11">
      <c r="A1" s="16" t="s">
        <v>12</v>
      </c>
      <c r="B1" s="1">
        <f>圓柱體體積(3,20)</f>
        <v>565.48667764616278</v>
      </c>
      <c r="D1" s="1" t="s">
        <v>37</v>
      </c>
      <c r="E1" s="18">
        <v>24124</v>
      </c>
      <c r="G1" s="2" t="s">
        <v>5</v>
      </c>
      <c r="H1" s="2" t="s">
        <v>6</v>
      </c>
    </row>
    <row r="2" spans="1:11">
      <c r="A2" s="16" t="s">
        <v>2</v>
      </c>
      <c r="B2" s="1" t="str">
        <f>現在時間()</f>
        <v>現在時間是:民國102年07月22日星期一下午3時16分28秒</v>
      </c>
      <c r="D2" s="1" t="s">
        <v>38</v>
      </c>
      <c r="E2" s="18">
        <f ca="1">TODAY()</f>
        <v>41477</v>
      </c>
      <c r="G2" s="3" t="s">
        <v>10</v>
      </c>
      <c r="H2" s="4">
        <v>98</v>
      </c>
      <c r="J2">
        <v>1</v>
      </c>
      <c r="K2" s="13">
        <f t="array" ref="K2">AVERAGE(LARGE($H$2:$H$6,$J$2:J2))</f>
        <v>98</v>
      </c>
    </row>
    <row r="3" spans="1:11">
      <c r="A3" s="16" t="s">
        <v>1</v>
      </c>
      <c r="B3" s="1">
        <f>美金轉換(350,32)</f>
        <v>11200</v>
      </c>
      <c r="D3" s="1" t="s">
        <v>39</v>
      </c>
      <c r="E3" s="1">
        <f ca="1">兩日期年月日($E$1,$E$2,1)</f>
        <v>47</v>
      </c>
      <c r="G3" s="3" t="s">
        <v>8</v>
      </c>
      <c r="H3" s="4">
        <v>92</v>
      </c>
      <c r="J3">
        <v>2</v>
      </c>
      <c r="K3" s="13">
        <f t="array" ref="K3">AVERAGE(LARGE($H$2:$H$6,$J$2:J3))</f>
        <v>95</v>
      </c>
    </row>
    <row r="4" spans="1:11">
      <c r="A4" s="16" t="s">
        <v>3</v>
      </c>
      <c r="B4" s="1">
        <f ca="1">前三大平均(H2:H6)</f>
        <v>93</v>
      </c>
      <c r="D4" s="1" t="s">
        <v>40</v>
      </c>
      <c r="E4" s="1">
        <f ca="1">兩日期年月日($E$1,$E$2,2)</f>
        <v>6</v>
      </c>
      <c r="G4" s="3" t="s">
        <v>7</v>
      </c>
      <c r="H4" s="4">
        <v>89</v>
      </c>
      <c r="J4">
        <v>3</v>
      </c>
      <c r="K4" s="13">
        <f t="array" ref="K4">AVERAGE(LARGE($H$2:$H$6,$J$2:J4))</f>
        <v>93</v>
      </c>
    </row>
    <row r="5" spans="1:11">
      <c r="A5" s="17">
        <v>2</v>
      </c>
      <c r="B5" s="1">
        <f ca="1">前N大平均(H2:H6,A5)</f>
        <v>95</v>
      </c>
      <c r="D5" s="1" t="s">
        <v>41</v>
      </c>
      <c r="E5" s="1">
        <f ca="1">兩日期年月日($E$1,$E$2,3)</f>
        <v>5</v>
      </c>
      <c r="G5" s="3" t="s">
        <v>11</v>
      </c>
      <c r="H5" s="4">
        <v>70</v>
      </c>
      <c r="J5">
        <v>4</v>
      </c>
      <c r="K5" s="13">
        <f t="array" ref="K5">AVERAGE(LARGE($H$2:$H$6,$J$2:J5))</f>
        <v>87.25</v>
      </c>
    </row>
    <row r="6" spans="1:11">
      <c r="G6" s="3" t="s">
        <v>9</v>
      </c>
      <c r="H6" s="4">
        <v>55</v>
      </c>
      <c r="J6">
        <v>5</v>
      </c>
      <c r="K6" s="13">
        <f t="array" ref="K6">AVERAGE(LARGE($H$2:$H$6,$J$2:J6))</f>
        <v>80.8</v>
      </c>
    </row>
    <row r="8" spans="1:11">
      <c r="A8" s="1" t="s">
        <v>34</v>
      </c>
      <c r="B8" s="14" t="str">
        <f>使用者()</f>
        <v>Windows 使用者</v>
      </c>
    </row>
    <row r="9" spans="1:11">
      <c r="A9" s="1" t="s">
        <v>35</v>
      </c>
      <c r="B9" s="14">
        <f>固定亂數()</f>
        <v>0.7055475115776062</v>
      </c>
      <c r="G9">
        <v>1</v>
      </c>
      <c r="H9" s="4">
        <v>3</v>
      </c>
    </row>
    <row r="10" spans="1:11">
      <c r="A10" s="1" t="s">
        <v>36</v>
      </c>
      <c r="B10" s="14">
        <f>固定亂數2(20,100)</f>
        <v>62</v>
      </c>
    </row>
    <row r="11" spans="1:11">
      <c r="G11" s="15">
        <f>SUM($H$2:$H16)</f>
        <v>407</v>
      </c>
    </row>
    <row r="14" spans="1:11">
      <c r="D14" s="15"/>
      <c r="E14" s="15"/>
    </row>
  </sheetData>
  <phoneticPr fontId="1" type="noConversion"/>
  <pageMargins left="0.75" right="0.75" top="1" bottom="1" header="0.5" footer="0.5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7"/>
  <sheetViews>
    <sheetView showGridLines="0" workbookViewId="0">
      <selection activeCell="F10" sqref="F10"/>
    </sheetView>
  </sheetViews>
  <sheetFormatPr defaultRowHeight="16.5"/>
  <cols>
    <col min="1" max="1" width="6.5" customWidth="1"/>
    <col min="2" max="7" width="8.125" customWidth="1"/>
    <col min="8" max="8" width="6.5" customWidth="1"/>
  </cols>
  <sheetData>
    <row r="1" spans="1:8">
      <c r="A1" s="6"/>
      <c r="B1" s="10" t="s">
        <v>13</v>
      </c>
      <c r="C1" s="10" t="s">
        <v>14</v>
      </c>
      <c r="D1" s="10" t="s">
        <v>15</v>
      </c>
      <c r="E1" s="10" t="s">
        <v>16</v>
      </c>
      <c r="F1" s="10" t="s">
        <v>17</v>
      </c>
      <c r="G1" s="10" t="s">
        <v>18</v>
      </c>
      <c r="H1" s="10"/>
    </row>
    <row r="2" spans="1:8">
      <c r="A2" s="8" t="s">
        <v>19</v>
      </c>
      <c r="B2" s="7">
        <v>1715</v>
      </c>
      <c r="C2" s="7">
        <v>1993</v>
      </c>
      <c r="D2" s="7">
        <v>1800</v>
      </c>
      <c r="E2" s="7">
        <v>1171</v>
      </c>
      <c r="F2" s="7">
        <v>1234</v>
      </c>
      <c r="G2" s="7">
        <v>1884</v>
      </c>
      <c r="H2" s="7">
        <f t="shared" ref="H2:H15" si="0">SUM(B2:G2)</f>
        <v>9797</v>
      </c>
    </row>
    <row r="3" spans="1:8">
      <c r="A3" s="8" t="s">
        <v>20</v>
      </c>
      <c r="B3" s="7">
        <v>1693</v>
      </c>
      <c r="C3" s="7">
        <v>1833</v>
      </c>
      <c r="D3" s="7">
        <v>1722</v>
      </c>
      <c r="E3" s="7">
        <v>1648</v>
      </c>
      <c r="F3" s="7">
        <v>1644</v>
      </c>
      <c r="G3" s="7">
        <v>1729</v>
      </c>
      <c r="H3" s="7">
        <f t="shared" si="0"/>
        <v>10269</v>
      </c>
    </row>
    <row r="4" spans="1:8">
      <c r="A4" s="9" t="s">
        <v>21</v>
      </c>
      <c r="B4" s="5">
        <v>1637</v>
      </c>
      <c r="C4" s="5">
        <v>1633</v>
      </c>
      <c r="D4" s="5">
        <v>1703</v>
      </c>
      <c r="E4" s="5">
        <v>1108</v>
      </c>
      <c r="F4" s="5">
        <v>1102</v>
      </c>
      <c r="G4" s="5">
        <v>1413</v>
      </c>
      <c r="H4" s="5">
        <f t="shared" si="0"/>
        <v>8596</v>
      </c>
    </row>
    <row r="5" spans="1:8">
      <c r="A5" s="9" t="s">
        <v>22</v>
      </c>
      <c r="B5" s="5">
        <v>1195</v>
      </c>
      <c r="C5" s="5">
        <v>1070</v>
      </c>
      <c r="D5" s="5">
        <v>1871</v>
      </c>
      <c r="E5" s="5">
        <v>1684</v>
      </c>
      <c r="F5" s="5">
        <v>1782</v>
      </c>
      <c r="G5" s="5">
        <v>1899</v>
      </c>
      <c r="H5" s="5">
        <f t="shared" si="0"/>
        <v>9501</v>
      </c>
    </row>
    <row r="6" spans="1:8">
      <c r="A6" s="8" t="s">
        <v>23</v>
      </c>
      <c r="B6" s="7">
        <v>1315</v>
      </c>
      <c r="C6" s="7">
        <v>1944</v>
      </c>
      <c r="D6" s="7">
        <v>1505</v>
      </c>
      <c r="E6" s="7">
        <v>1373</v>
      </c>
      <c r="F6" s="7">
        <v>1678</v>
      </c>
      <c r="G6" s="7">
        <v>1787</v>
      </c>
      <c r="H6" s="7">
        <f t="shared" si="0"/>
        <v>9602</v>
      </c>
    </row>
    <row r="7" spans="1:8">
      <c r="A7" s="8" t="s">
        <v>24</v>
      </c>
      <c r="B7" s="7">
        <v>1884</v>
      </c>
      <c r="C7" s="7">
        <v>1485</v>
      </c>
      <c r="D7" s="7">
        <v>1646</v>
      </c>
      <c r="E7" s="7">
        <v>1446</v>
      </c>
      <c r="F7" s="7">
        <v>1166</v>
      </c>
      <c r="G7" s="7">
        <v>1564</v>
      </c>
      <c r="H7" s="7">
        <f t="shared" si="0"/>
        <v>9191</v>
      </c>
    </row>
    <row r="8" spans="1:8">
      <c r="A8" s="9" t="s">
        <v>25</v>
      </c>
      <c r="B8" s="5">
        <v>1884</v>
      </c>
      <c r="C8" s="5">
        <v>1010</v>
      </c>
      <c r="D8" s="5">
        <v>1068</v>
      </c>
      <c r="E8" s="5">
        <v>1789</v>
      </c>
      <c r="F8" s="5">
        <v>1675</v>
      </c>
      <c r="G8" s="5">
        <v>1678</v>
      </c>
      <c r="H8" s="5">
        <f t="shared" si="0"/>
        <v>9104</v>
      </c>
    </row>
    <row r="9" spans="1:8">
      <c r="A9" s="9" t="s">
        <v>26</v>
      </c>
      <c r="B9" s="5">
        <v>1866</v>
      </c>
      <c r="C9" s="5">
        <v>1132</v>
      </c>
      <c r="D9" s="5">
        <v>1689</v>
      </c>
      <c r="E9" s="5">
        <v>1299</v>
      </c>
      <c r="F9" s="5">
        <v>1166</v>
      </c>
      <c r="G9" s="5">
        <v>1521</v>
      </c>
      <c r="H9" s="5">
        <f t="shared" si="0"/>
        <v>8673</v>
      </c>
    </row>
    <row r="10" spans="1:8">
      <c r="A10" s="8" t="s">
        <v>27</v>
      </c>
      <c r="B10" s="7">
        <v>1017</v>
      </c>
      <c r="C10" s="7">
        <v>1477</v>
      </c>
      <c r="D10" s="7">
        <v>1154</v>
      </c>
      <c r="E10" s="7">
        <v>1344</v>
      </c>
      <c r="F10" s="7">
        <v>1859</v>
      </c>
      <c r="G10" s="7">
        <v>1970</v>
      </c>
      <c r="H10" s="7">
        <f t="shared" si="0"/>
        <v>8821</v>
      </c>
    </row>
    <row r="11" spans="1:8">
      <c r="A11" s="8" t="s">
        <v>28</v>
      </c>
      <c r="B11" s="7">
        <v>1910</v>
      </c>
      <c r="C11" s="7">
        <v>1664</v>
      </c>
      <c r="D11" s="7">
        <v>1136</v>
      </c>
      <c r="E11" s="7">
        <v>1099</v>
      </c>
      <c r="F11" s="7">
        <v>1522</v>
      </c>
      <c r="G11" s="7">
        <v>1527</v>
      </c>
      <c r="H11" s="7">
        <f t="shared" si="0"/>
        <v>8858</v>
      </c>
    </row>
    <row r="12" spans="1:8">
      <c r="A12" s="9" t="s">
        <v>29</v>
      </c>
      <c r="B12" s="5">
        <v>1214</v>
      </c>
      <c r="C12" s="5">
        <v>1836</v>
      </c>
      <c r="D12" s="5">
        <v>1317</v>
      </c>
      <c r="E12" s="5">
        <v>1629</v>
      </c>
      <c r="F12" s="5">
        <v>1749</v>
      </c>
      <c r="G12" s="5">
        <v>1129</v>
      </c>
      <c r="H12" s="5">
        <f t="shared" si="0"/>
        <v>8874</v>
      </c>
    </row>
    <row r="13" spans="1:8">
      <c r="A13" s="9" t="s">
        <v>30</v>
      </c>
      <c r="B13" s="5">
        <v>1377</v>
      </c>
      <c r="C13" s="5">
        <v>1639</v>
      </c>
      <c r="D13" s="5">
        <v>1246</v>
      </c>
      <c r="E13" s="5">
        <v>1555</v>
      </c>
      <c r="F13" s="5">
        <v>1464</v>
      </c>
      <c r="G13" s="5">
        <v>1624</v>
      </c>
      <c r="H13" s="5">
        <f t="shared" si="0"/>
        <v>8905</v>
      </c>
    </row>
    <row r="14" spans="1:8">
      <c r="A14" s="8" t="s">
        <v>31</v>
      </c>
      <c r="B14" s="7">
        <v>1257</v>
      </c>
      <c r="C14" s="7">
        <v>1065</v>
      </c>
      <c r="D14" s="7">
        <v>1464</v>
      </c>
      <c r="E14" s="7">
        <v>1467</v>
      </c>
      <c r="F14" s="7">
        <v>1629</v>
      </c>
      <c r="G14" s="7">
        <v>1461</v>
      </c>
      <c r="H14" s="7">
        <f t="shared" si="0"/>
        <v>8343</v>
      </c>
    </row>
    <row r="15" spans="1:8">
      <c r="A15" s="8" t="s">
        <v>32</v>
      </c>
      <c r="B15" s="7">
        <v>1460</v>
      </c>
      <c r="C15" s="7">
        <v>1398</v>
      </c>
      <c r="D15" s="7">
        <v>1821</v>
      </c>
      <c r="E15" s="7">
        <v>1937</v>
      </c>
      <c r="F15" s="7">
        <v>1495</v>
      </c>
      <c r="G15" s="7">
        <v>1619</v>
      </c>
      <c r="H15" s="7">
        <f t="shared" si="0"/>
        <v>9730</v>
      </c>
    </row>
    <row r="16" spans="1:8" ht="17.25" thickBot="1">
      <c r="A16" s="11"/>
      <c r="B16" s="12">
        <f t="shared" ref="B16:G16" si="1">SUM(B2:B15)</f>
        <v>21424</v>
      </c>
      <c r="C16" s="12">
        <f t="shared" si="1"/>
        <v>21179</v>
      </c>
      <c r="D16" s="12">
        <f t="shared" si="1"/>
        <v>21142</v>
      </c>
      <c r="E16" s="12">
        <f t="shared" si="1"/>
        <v>20549</v>
      </c>
      <c r="F16" s="12">
        <f t="shared" si="1"/>
        <v>21165</v>
      </c>
      <c r="G16" s="12">
        <f t="shared" si="1"/>
        <v>22805</v>
      </c>
      <c r="H16" s="12"/>
    </row>
    <row r="17" ht="17.25" thickTop="1"/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5"/>
  <sheetViews>
    <sheetView workbookViewId="0">
      <selection activeCell="D10" sqref="D10"/>
    </sheetView>
  </sheetViews>
  <sheetFormatPr defaultRowHeight="16.5"/>
  <sheetData>
    <row r="1" spans="1:7"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</row>
    <row r="2" spans="1:7">
      <c r="A2" t="s">
        <v>19</v>
      </c>
      <c r="B2">
        <v>1725</v>
      </c>
      <c r="C2">
        <v>1467</v>
      </c>
      <c r="D2">
        <v>1293</v>
      </c>
      <c r="E2">
        <v>1757</v>
      </c>
      <c r="F2">
        <v>1767</v>
      </c>
      <c r="G2">
        <v>1573</v>
      </c>
    </row>
    <row r="3" spans="1:7">
      <c r="A3" t="s">
        <v>20</v>
      </c>
      <c r="B3">
        <v>1461</v>
      </c>
      <c r="C3">
        <v>1144</v>
      </c>
      <c r="D3">
        <v>1695</v>
      </c>
      <c r="E3">
        <v>1080</v>
      </c>
      <c r="F3">
        <v>1884</v>
      </c>
      <c r="G3">
        <v>1665</v>
      </c>
    </row>
    <row r="4" spans="1:7">
      <c r="A4" t="s">
        <v>21</v>
      </c>
      <c r="B4">
        <v>1747</v>
      </c>
      <c r="C4">
        <v>1521</v>
      </c>
      <c r="D4">
        <v>1617</v>
      </c>
      <c r="E4">
        <v>1605</v>
      </c>
      <c r="F4">
        <v>1782</v>
      </c>
      <c r="G4">
        <v>1175</v>
      </c>
    </row>
    <row r="5" spans="1:7">
      <c r="A5" t="s">
        <v>22</v>
      </c>
      <c r="B5">
        <v>1749</v>
      </c>
      <c r="C5">
        <v>1662</v>
      </c>
      <c r="D5">
        <v>1438</v>
      </c>
      <c r="E5">
        <v>1083</v>
      </c>
      <c r="F5">
        <v>1394</v>
      </c>
      <c r="G5">
        <v>1092</v>
      </c>
    </row>
    <row r="6" spans="1:7">
      <c r="A6" t="s">
        <v>23</v>
      </c>
      <c r="B6">
        <v>1095</v>
      </c>
      <c r="C6">
        <v>1439</v>
      </c>
      <c r="D6">
        <v>1661</v>
      </c>
      <c r="E6">
        <v>1127</v>
      </c>
      <c r="F6">
        <v>1205</v>
      </c>
      <c r="G6">
        <v>1931</v>
      </c>
    </row>
    <row r="7" spans="1:7">
      <c r="A7" t="s">
        <v>24</v>
      </c>
      <c r="B7">
        <v>1717</v>
      </c>
      <c r="C7">
        <v>1939</v>
      </c>
      <c r="D7">
        <v>1701</v>
      </c>
      <c r="E7">
        <v>1109</v>
      </c>
      <c r="F7">
        <v>1392</v>
      </c>
      <c r="G7">
        <v>1579</v>
      </c>
    </row>
    <row r="8" spans="1:7">
      <c r="A8" t="s">
        <v>25</v>
      </c>
      <c r="B8">
        <v>1041</v>
      </c>
      <c r="C8">
        <v>1087</v>
      </c>
      <c r="D8">
        <v>1987</v>
      </c>
      <c r="E8">
        <v>1146</v>
      </c>
      <c r="F8">
        <v>1748</v>
      </c>
      <c r="G8">
        <v>1668</v>
      </c>
    </row>
    <row r="9" spans="1:7">
      <c r="A9" t="s">
        <v>26</v>
      </c>
      <c r="B9">
        <v>1885</v>
      </c>
      <c r="C9">
        <v>1688</v>
      </c>
      <c r="D9">
        <v>1898</v>
      </c>
      <c r="E9">
        <v>1389</v>
      </c>
      <c r="F9">
        <v>1667</v>
      </c>
      <c r="G9">
        <v>1241</v>
      </c>
    </row>
    <row r="10" spans="1:7">
      <c r="A10" t="s">
        <v>27</v>
      </c>
      <c r="B10">
        <v>1020</v>
      </c>
      <c r="C10">
        <v>1178</v>
      </c>
      <c r="D10">
        <v>1370</v>
      </c>
      <c r="E10">
        <v>1509</v>
      </c>
      <c r="F10">
        <v>1599</v>
      </c>
      <c r="G10">
        <v>1572</v>
      </c>
    </row>
    <row r="11" spans="1:7">
      <c r="A11" t="s">
        <v>28</v>
      </c>
      <c r="B11">
        <v>1135</v>
      </c>
      <c r="C11">
        <v>1908</v>
      </c>
      <c r="D11">
        <v>1109</v>
      </c>
      <c r="E11">
        <v>1865</v>
      </c>
      <c r="F11">
        <v>1236</v>
      </c>
      <c r="G11">
        <v>1934</v>
      </c>
    </row>
    <row r="12" spans="1:7">
      <c r="A12" t="s">
        <v>29</v>
      </c>
      <c r="B12">
        <v>1257</v>
      </c>
      <c r="C12">
        <v>1078</v>
      </c>
      <c r="D12">
        <v>1982</v>
      </c>
      <c r="E12">
        <v>1698</v>
      </c>
      <c r="F12">
        <v>1298</v>
      </c>
      <c r="G12">
        <v>1855</v>
      </c>
    </row>
    <row r="13" spans="1:7">
      <c r="A13" t="s">
        <v>30</v>
      </c>
      <c r="B13">
        <v>1016</v>
      </c>
      <c r="C13">
        <v>1520</v>
      </c>
      <c r="D13">
        <v>1761</v>
      </c>
      <c r="E13">
        <v>1729</v>
      </c>
      <c r="F13">
        <v>1204</v>
      </c>
      <c r="G13">
        <v>1396</v>
      </c>
    </row>
    <row r="14" spans="1:7">
      <c r="A14" t="s">
        <v>31</v>
      </c>
      <c r="B14">
        <v>1909</v>
      </c>
      <c r="C14">
        <v>1967</v>
      </c>
      <c r="D14">
        <v>1785</v>
      </c>
      <c r="E14">
        <v>1951</v>
      </c>
      <c r="F14">
        <v>1039</v>
      </c>
      <c r="G14">
        <v>1225</v>
      </c>
    </row>
    <row r="15" spans="1:7">
      <c r="A15" t="s">
        <v>32</v>
      </c>
      <c r="B15">
        <v>1578</v>
      </c>
      <c r="C15">
        <v>1123</v>
      </c>
      <c r="D15">
        <v>1514</v>
      </c>
      <c r="E15">
        <v>1900</v>
      </c>
      <c r="F15">
        <v>1697</v>
      </c>
      <c r="G15">
        <v>1418</v>
      </c>
    </row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5"/>
  <sheetViews>
    <sheetView workbookViewId="0">
      <selection activeCell="D10" sqref="D10"/>
    </sheetView>
  </sheetViews>
  <sheetFormatPr defaultRowHeight="16.5"/>
  <sheetData>
    <row r="1" spans="1:7"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</row>
    <row r="2" spans="1:7">
      <c r="A2" t="s">
        <v>19</v>
      </c>
      <c r="B2">
        <v>1989</v>
      </c>
      <c r="C2">
        <v>1482</v>
      </c>
      <c r="D2">
        <v>1483</v>
      </c>
      <c r="E2">
        <v>1595</v>
      </c>
      <c r="F2">
        <v>1402</v>
      </c>
      <c r="G2">
        <v>1940</v>
      </c>
    </row>
    <row r="3" spans="1:7">
      <c r="A3" t="s">
        <v>20</v>
      </c>
      <c r="B3">
        <v>1803</v>
      </c>
      <c r="C3">
        <v>1279</v>
      </c>
      <c r="D3">
        <v>1010</v>
      </c>
      <c r="E3">
        <v>1060</v>
      </c>
      <c r="F3">
        <v>1243</v>
      </c>
      <c r="G3">
        <v>1566</v>
      </c>
    </row>
    <row r="4" spans="1:7">
      <c r="A4" t="s">
        <v>21</v>
      </c>
      <c r="B4">
        <v>1020</v>
      </c>
      <c r="C4">
        <v>1864</v>
      </c>
      <c r="D4">
        <v>1639</v>
      </c>
      <c r="E4">
        <v>1269</v>
      </c>
      <c r="F4">
        <v>1931</v>
      </c>
      <c r="G4">
        <v>1233</v>
      </c>
    </row>
    <row r="5" spans="1:7">
      <c r="A5" t="s">
        <v>22</v>
      </c>
      <c r="B5">
        <v>1275</v>
      </c>
      <c r="C5">
        <v>1227</v>
      </c>
      <c r="D5">
        <v>1576</v>
      </c>
      <c r="E5">
        <v>1810</v>
      </c>
      <c r="F5">
        <v>1917</v>
      </c>
      <c r="G5">
        <v>1679</v>
      </c>
    </row>
    <row r="6" spans="1:7">
      <c r="A6" t="s">
        <v>23</v>
      </c>
      <c r="B6">
        <v>1132</v>
      </c>
      <c r="C6">
        <v>1487</v>
      </c>
      <c r="D6">
        <v>1245</v>
      </c>
      <c r="E6">
        <v>1830</v>
      </c>
      <c r="F6">
        <v>1341</v>
      </c>
      <c r="G6">
        <v>1990</v>
      </c>
    </row>
    <row r="7" spans="1:7">
      <c r="A7" t="s">
        <v>24</v>
      </c>
      <c r="B7">
        <v>1514</v>
      </c>
      <c r="C7">
        <v>1624</v>
      </c>
      <c r="D7">
        <v>1441</v>
      </c>
      <c r="E7">
        <v>1423</v>
      </c>
      <c r="F7">
        <v>1258</v>
      </c>
      <c r="G7">
        <v>1638</v>
      </c>
    </row>
    <row r="8" spans="1:7">
      <c r="A8" t="s">
        <v>25</v>
      </c>
      <c r="B8">
        <v>1441</v>
      </c>
      <c r="C8">
        <v>1916</v>
      </c>
      <c r="D8">
        <v>1443</v>
      </c>
      <c r="E8">
        <v>1484</v>
      </c>
      <c r="F8">
        <v>1819</v>
      </c>
      <c r="G8">
        <v>1892</v>
      </c>
    </row>
    <row r="9" spans="1:7">
      <c r="A9" t="s">
        <v>26</v>
      </c>
      <c r="B9">
        <v>1543</v>
      </c>
      <c r="C9">
        <v>1668</v>
      </c>
      <c r="D9">
        <v>1293</v>
      </c>
      <c r="E9">
        <v>1019</v>
      </c>
      <c r="F9">
        <v>1312</v>
      </c>
      <c r="G9">
        <v>1715</v>
      </c>
    </row>
    <row r="10" spans="1:7">
      <c r="A10" t="s">
        <v>27</v>
      </c>
      <c r="B10">
        <v>1664</v>
      </c>
      <c r="C10">
        <v>1704</v>
      </c>
      <c r="D10">
        <v>1009</v>
      </c>
      <c r="E10">
        <v>1126</v>
      </c>
      <c r="F10">
        <v>1063</v>
      </c>
      <c r="G10">
        <v>1004</v>
      </c>
    </row>
    <row r="11" spans="1:7">
      <c r="A11" t="s">
        <v>28</v>
      </c>
      <c r="B11">
        <v>1305</v>
      </c>
      <c r="C11">
        <v>1120</v>
      </c>
      <c r="D11">
        <v>1571</v>
      </c>
      <c r="E11">
        <v>1156</v>
      </c>
      <c r="F11">
        <v>1945</v>
      </c>
      <c r="G11">
        <v>1117</v>
      </c>
    </row>
    <row r="12" spans="1:7">
      <c r="A12" t="s">
        <v>29</v>
      </c>
      <c r="B12">
        <v>1941</v>
      </c>
      <c r="C12">
        <v>1740</v>
      </c>
      <c r="D12">
        <v>1534</v>
      </c>
      <c r="E12">
        <v>1173</v>
      </c>
      <c r="F12">
        <v>1687</v>
      </c>
      <c r="G12">
        <v>1584</v>
      </c>
    </row>
    <row r="13" spans="1:7">
      <c r="A13" t="s">
        <v>30</v>
      </c>
      <c r="B13">
        <v>1125</v>
      </c>
      <c r="C13">
        <v>1442</v>
      </c>
      <c r="D13">
        <v>1143</v>
      </c>
      <c r="E13">
        <v>1030</v>
      </c>
      <c r="F13">
        <v>1055</v>
      </c>
      <c r="G13">
        <v>1839</v>
      </c>
    </row>
    <row r="14" spans="1:7">
      <c r="A14" t="s">
        <v>31</v>
      </c>
      <c r="B14">
        <v>1770</v>
      </c>
      <c r="C14">
        <v>1738</v>
      </c>
      <c r="D14">
        <v>1938</v>
      </c>
      <c r="E14">
        <v>1502</v>
      </c>
      <c r="F14">
        <v>1133</v>
      </c>
      <c r="G14">
        <v>1278</v>
      </c>
    </row>
    <row r="15" spans="1:7">
      <c r="A15" t="s">
        <v>32</v>
      </c>
      <c r="B15">
        <v>1142</v>
      </c>
      <c r="C15">
        <v>1084</v>
      </c>
      <c r="D15">
        <v>1253</v>
      </c>
      <c r="E15">
        <v>1352</v>
      </c>
      <c r="F15">
        <v>1350</v>
      </c>
      <c r="G15">
        <v>1753</v>
      </c>
    </row>
  </sheetData>
  <phoneticPr fontId="1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5"/>
  <sheetViews>
    <sheetView workbookViewId="0">
      <selection activeCell="D10" sqref="D10"/>
    </sheetView>
  </sheetViews>
  <sheetFormatPr defaultRowHeight="16.5"/>
  <sheetData>
    <row r="1" spans="1:7">
      <c r="B1" t="s">
        <v>13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</row>
    <row r="2" spans="1:7">
      <c r="A2" t="s">
        <v>19</v>
      </c>
      <c r="B2">
        <v>1666</v>
      </c>
      <c r="C2">
        <v>1578</v>
      </c>
      <c r="D2">
        <v>1873</v>
      </c>
      <c r="E2">
        <v>1086</v>
      </c>
      <c r="F2">
        <v>1954</v>
      </c>
      <c r="G2">
        <v>1560</v>
      </c>
    </row>
    <row r="3" spans="1:7">
      <c r="A3" t="s">
        <v>20</v>
      </c>
      <c r="B3">
        <v>1951</v>
      </c>
      <c r="C3">
        <v>1237</v>
      </c>
      <c r="D3">
        <v>1773</v>
      </c>
      <c r="E3">
        <v>1494</v>
      </c>
      <c r="F3">
        <v>1767</v>
      </c>
      <c r="G3">
        <v>1445</v>
      </c>
    </row>
    <row r="4" spans="1:7">
      <c r="A4" t="s">
        <v>21</v>
      </c>
      <c r="B4">
        <v>1003</v>
      </c>
      <c r="C4">
        <v>1135</v>
      </c>
      <c r="D4">
        <v>1178</v>
      </c>
      <c r="E4">
        <v>1688</v>
      </c>
      <c r="F4">
        <v>1375</v>
      </c>
      <c r="G4">
        <v>1410</v>
      </c>
    </row>
    <row r="5" spans="1:7">
      <c r="A5" t="s">
        <v>22</v>
      </c>
      <c r="B5">
        <v>1221</v>
      </c>
      <c r="C5">
        <v>1662</v>
      </c>
      <c r="D5">
        <v>1612</v>
      </c>
      <c r="E5">
        <v>1535</v>
      </c>
      <c r="F5">
        <v>1567</v>
      </c>
      <c r="G5">
        <v>1070</v>
      </c>
    </row>
    <row r="6" spans="1:7">
      <c r="A6" t="s">
        <v>23</v>
      </c>
      <c r="B6">
        <v>1509</v>
      </c>
      <c r="C6">
        <v>1355</v>
      </c>
      <c r="D6">
        <v>1845</v>
      </c>
      <c r="E6">
        <v>1077</v>
      </c>
      <c r="F6">
        <v>1919</v>
      </c>
      <c r="G6">
        <v>1973</v>
      </c>
    </row>
    <row r="7" spans="1:7">
      <c r="A7" t="s">
        <v>24</v>
      </c>
      <c r="B7">
        <v>1731</v>
      </c>
      <c r="C7">
        <v>1036</v>
      </c>
      <c r="D7">
        <v>1886</v>
      </c>
      <c r="E7">
        <v>1956</v>
      </c>
      <c r="F7">
        <v>1815</v>
      </c>
      <c r="G7">
        <v>1574</v>
      </c>
    </row>
    <row r="8" spans="1:7">
      <c r="A8" t="s">
        <v>25</v>
      </c>
      <c r="B8">
        <v>1631</v>
      </c>
      <c r="C8">
        <v>1748</v>
      </c>
      <c r="D8">
        <v>1865</v>
      </c>
      <c r="E8">
        <v>1769</v>
      </c>
      <c r="F8">
        <v>1511</v>
      </c>
      <c r="G8">
        <v>1331</v>
      </c>
    </row>
    <row r="9" spans="1:7">
      <c r="A9" t="s">
        <v>26</v>
      </c>
      <c r="B9">
        <v>1693</v>
      </c>
      <c r="C9">
        <v>1640</v>
      </c>
      <c r="D9">
        <v>1087</v>
      </c>
      <c r="E9">
        <v>1423</v>
      </c>
      <c r="F9">
        <v>1498</v>
      </c>
      <c r="G9">
        <v>1794</v>
      </c>
    </row>
    <row r="10" spans="1:7">
      <c r="A10" t="s">
        <v>27</v>
      </c>
      <c r="B10">
        <v>1523</v>
      </c>
      <c r="C10">
        <v>1736</v>
      </c>
      <c r="D10">
        <v>1251</v>
      </c>
      <c r="E10">
        <v>1122</v>
      </c>
      <c r="F10">
        <v>1134</v>
      </c>
      <c r="G10">
        <v>1978</v>
      </c>
    </row>
    <row r="11" spans="1:7">
      <c r="A11" t="s">
        <v>28</v>
      </c>
      <c r="B11">
        <v>1544</v>
      </c>
      <c r="C11">
        <v>1710</v>
      </c>
      <c r="D11">
        <v>1520</v>
      </c>
      <c r="E11">
        <v>1225</v>
      </c>
      <c r="F11">
        <v>1358</v>
      </c>
      <c r="G11">
        <v>1944</v>
      </c>
    </row>
    <row r="12" spans="1:7">
      <c r="A12" t="s">
        <v>29</v>
      </c>
      <c r="B12">
        <v>1662</v>
      </c>
      <c r="C12">
        <v>1474</v>
      </c>
      <c r="D12">
        <v>1239</v>
      </c>
      <c r="E12">
        <v>1685</v>
      </c>
      <c r="F12">
        <v>1585</v>
      </c>
      <c r="G12">
        <v>1976</v>
      </c>
    </row>
    <row r="13" spans="1:7">
      <c r="A13" t="s">
        <v>30</v>
      </c>
      <c r="B13">
        <v>1196</v>
      </c>
      <c r="C13">
        <v>1906</v>
      </c>
      <c r="D13">
        <v>1774</v>
      </c>
      <c r="E13">
        <v>1331</v>
      </c>
      <c r="F13">
        <v>1995</v>
      </c>
      <c r="G13">
        <v>1036</v>
      </c>
    </row>
    <row r="14" spans="1:7">
      <c r="A14" t="s">
        <v>31</v>
      </c>
      <c r="B14">
        <v>1111</v>
      </c>
      <c r="C14">
        <v>1204</v>
      </c>
      <c r="D14">
        <v>1810</v>
      </c>
      <c r="E14">
        <v>1932</v>
      </c>
      <c r="F14">
        <v>1179</v>
      </c>
      <c r="G14">
        <v>1505</v>
      </c>
    </row>
    <row r="15" spans="1:7">
      <c r="A15" t="s">
        <v>32</v>
      </c>
      <c r="B15">
        <v>1654</v>
      </c>
      <c r="C15">
        <v>1529</v>
      </c>
      <c r="D15">
        <v>1468</v>
      </c>
      <c r="E15">
        <v>1817</v>
      </c>
      <c r="F15">
        <v>1464</v>
      </c>
      <c r="G15">
        <v>1850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工作表</vt:lpstr>
      </vt:variant>
      <vt:variant>
        <vt:i4>5</vt:i4>
      </vt:variant>
      <vt:variant>
        <vt:lpstr>Excel 4.0 巨集表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7" baseType="lpstr">
      <vt:lpstr>自訂函數</vt:lpstr>
      <vt:lpstr>第一週</vt:lpstr>
      <vt:lpstr>第二週</vt:lpstr>
      <vt:lpstr>第三週</vt:lpstr>
      <vt:lpstr>第四週</vt:lpstr>
      <vt:lpstr>Macro1</vt:lpstr>
      <vt:lpstr>Macro1!資料</vt:lpstr>
    </vt:vector>
  </TitlesOfParts>
  <Company>Karen &amp; Kenny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</dc:creator>
  <cp:lastModifiedBy>Windows 使用者</cp:lastModifiedBy>
  <dcterms:created xsi:type="dcterms:W3CDTF">2005-08-03T09:50:51Z</dcterms:created>
  <dcterms:modified xsi:type="dcterms:W3CDTF">2013-07-22T07:16:42Z</dcterms:modified>
</cp:coreProperties>
</file>