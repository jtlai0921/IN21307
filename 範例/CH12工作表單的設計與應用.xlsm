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改版\新範例檔案\"/>
    </mc:Choice>
  </mc:AlternateContent>
  <bookViews>
    <workbookView xWindow="5715" yWindow="720" windowWidth="6990" windowHeight="3390" activeTab="1"/>
  </bookViews>
  <sheets>
    <sheet name="資料表" sheetId="6" r:id="rId1"/>
    <sheet name="練習一" sheetId="11" r:id="rId2"/>
    <sheet name="練習一半成品" sheetId="12" r:id="rId3"/>
    <sheet name="電腦配件價目表" sheetId="9" r:id="rId4"/>
    <sheet name="範例ㄧ" sheetId="2" r:id="rId5"/>
    <sheet name="範例ㄧ 半成品" sheetId="15" r:id="rId6"/>
  </sheets>
  <definedNames>
    <definedName name="利率對應值">#REF!</definedName>
    <definedName name="每月可支配金額">#REF!</definedName>
    <definedName name="每月收入">#REF!</definedName>
    <definedName name="每月還款金額">#REF!</definedName>
    <definedName name="汽車名稱">#REF!</definedName>
    <definedName name="汽車售價">#REF!</definedName>
    <definedName name="汽車貸款額">#REF!</definedName>
    <definedName name="汽車總價款">#REF!</definedName>
    <definedName name="美商超微半導體" localSheetId="3">電腦配件價目表!$B$3</definedName>
    <definedName name="貸款利率">#REF!</definedName>
    <definedName name="選定汽車名稱序號">#REF!</definedName>
    <definedName name="購車自備款">#REF!</definedName>
    <definedName name="還款期限_月數">#REF!</definedName>
    <definedName name="還款期限對應值">#REF!</definedName>
    <definedName name="職務名稱">資料表!$A$2:$A$9</definedName>
  </definedNames>
  <calcPr calcId="152511"/>
</workbook>
</file>

<file path=xl/calcChain.xml><?xml version="1.0" encoding="utf-8"?>
<calcChain xmlns="http://schemas.openxmlformats.org/spreadsheetml/2006/main">
  <c r="D13" i="2" l="1"/>
  <c r="D14" i="2"/>
  <c r="D15" i="2"/>
  <c r="D14" i="11"/>
  <c r="G14" i="2"/>
  <c r="F8" i="2"/>
  <c r="F4" i="2"/>
  <c r="J4" i="2"/>
  <c r="J8" i="2"/>
  <c r="J13" i="2"/>
  <c r="F14" i="11"/>
</calcChain>
</file>

<file path=xl/sharedStrings.xml><?xml version="1.0" encoding="utf-8"?>
<sst xmlns="http://schemas.openxmlformats.org/spreadsheetml/2006/main" count="64" uniqueCount="61">
  <si>
    <t>職務名稱</t>
    <phoneticPr fontId="6" type="noConversion"/>
  </si>
  <si>
    <t>董事長</t>
    <phoneticPr fontId="6" type="noConversion"/>
  </si>
  <si>
    <t>總經理</t>
    <phoneticPr fontId="6" type="noConversion"/>
  </si>
  <si>
    <t>副總經理</t>
    <phoneticPr fontId="6" type="noConversion"/>
  </si>
  <si>
    <t>協理</t>
    <phoneticPr fontId="6" type="noConversion"/>
  </si>
  <si>
    <t>副理</t>
    <phoneticPr fontId="6" type="noConversion"/>
  </si>
  <si>
    <t>高專</t>
    <phoneticPr fontId="6" type="noConversion"/>
  </si>
  <si>
    <t>專員</t>
    <phoneticPr fontId="6" type="noConversion"/>
  </si>
  <si>
    <t>事務員</t>
    <phoneticPr fontId="6" type="noConversion"/>
  </si>
  <si>
    <t>群組方塊與選取按鈕</t>
    <phoneticPr fontId="6" type="noConversion"/>
  </si>
  <si>
    <t>清單方塊</t>
    <phoneticPr fontId="6" type="noConversion"/>
  </si>
  <si>
    <t>捲軸</t>
    <phoneticPr fontId="6" type="noConversion"/>
  </si>
  <si>
    <t>核取方塊</t>
    <phoneticPr fontId="6" type="noConversion"/>
  </si>
  <si>
    <t>微調按鈕</t>
    <phoneticPr fontId="6" type="noConversion"/>
  </si>
  <si>
    <t>連結到巨集檔案</t>
    <phoneticPr fontId="6" type="noConversion"/>
  </si>
  <si>
    <t>AMD Athlon 750(散裝slot-A)</t>
  </si>
  <si>
    <t xml:space="preserve">AMD AMD Athlon 800 (散裝slot-A) </t>
  </si>
  <si>
    <t>Intel Pentium III 750</t>
  </si>
  <si>
    <r>
      <t xml:space="preserve">CPU </t>
    </r>
    <r>
      <rPr>
        <sz val="12"/>
        <rFont val="新細明體"/>
        <family val="1"/>
        <charset val="136"/>
      </rPr>
      <t>中央處理器</t>
    </r>
    <phoneticPr fontId="6" type="noConversion"/>
  </si>
  <si>
    <r>
      <t xml:space="preserve">RAM </t>
    </r>
    <r>
      <rPr>
        <sz val="12"/>
        <rFont val="新細明體"/>
        <family val="1"/>
        <charset val="136"/>
      </rPr>
      <t>記憶體</t>
    </r>
    <phoneticPr fontId="6" type="noConversion"/>
  </si>
  <si>
    <t xml:space="preserve"> Hitachi 128MB PC-100 </t>
    <phoneticPr fontId="6" type="noConversion"/>
  </si>
  <si>
    <t xml:space="preserve"> Hitachi 64MB PC-100</t>
    <phoneticPr fontId="6" type="noConversion"/>
  </si>
  <si>
    <t xml:space="preserve"> Hitachi:128MB PC-133</t>
    <phoneticPr fontId="6" type="noConversion"/>
  </si>
  <si>
    <t>Intel Pentium III 800 (Slot I)</t>
    <phoneticPr fontId="6" type="noConversion"/>
  </si>
  <si>
    <t>單價</t>
    <phoneticPr fontId="7" type="noConversion"/>
  </si>
  <si>
    <t>價格</t>
    <phoneticPr fontId="7" type="noConversion"/>
  </si>
  <si>
    <t>記憶體</t>
    <phoneticPr fontId="7" type="noConversion"/>
  </si>
  <si>
    <t>中央處理器</t>
    <phoneticPr fontId="7" type="noConversion"/>
  </si>
  <si>
    <t>數量</t>
    <phoneticPr fontId="7" type="noConversion"/>
  </si>
  <si>
    <t>小計</t>
    <phoneticPr fontId="7" type="noConversion"/>
  </si>
  <si>
    <t>合計總價</t>
    <phoneticPr fontId="7" type="noConversion"/>
  </si>
  <si>
    <t>電腦組件訂購單</t>
    <phoneticPr fontId="7" type="noConversion"/>
  </si>
  <si>
    <t>按鈕</t>
    <phoneticPr fontId="6" type="noConversion"/>
  </si>
  <si>
    <t>連結的儲存格</t>
    <phoneticPr fontId="6" type="noConversion"/>
  </si>
  <si>
    <t>本薪</t>
    <phoneticPr fontId="6" type="noConversion"/>
  </si>
  <si>
    <r>
      <t>INDEX</t>
    </r>
    <r>
      <rPr>
        <sz val="12"/>
        <rFont val="新細明體"/>
        <family val="1"/>
        <charset val="136"/>
      </rPr>
      <t>應用</t>
    </r>
    <phoneticPr fontId="6" type="noConversion"/>
  </si>
  <si>
    <t>本薪</t>
  </si>
  <si>
    <t>INDEX應用</t>
  </si>
  <si>
    <t>群組方塊與選取按鈕</t>
    <phoneticPr fontId="6" type="noConversion"/>
  </si>
  <si>
    <t>清單方塊</t>
    <phoneticPr fontId="6" type="noConversion"/>
  </si>
  <si>
    <t>組合方塊</t>
    <phoneticPr fontId="6" type="noConversion"/>
  </si>
  <si>
    <t>捲軸</t>
    <phoneticPr fontId="6" type="noConversion"/>
  </si>
  <si>
    <t>核取方塊</t>
    <phoneticPr fontId="6" type="noConversion"/>
  </si>
  <si>
    <t>微調按鈕</t>
    <phoneticPr fontId="6" type="noConversion"/>
  </si>
  <si>
    <t>按鈕</t>
    <phoneticPr fontId="6" type="noConversion"/>
  </si>
  <si>
    <t>連結的儲存格</t>
    <phoneticPr fontId="6" type="noConversion"/>
  </si>
  <si>
    <t>連結到巨集檔案</t>
    <phoneticPr fontId="6" type="noConversion"/>
  </si>
  <si>
    <t>單價</t>
    <phoneticPr fontId="6" type="noConversion"/>
  </si>
  <si>
    <t>下拉式方塊</t>
    <phoneticPr fontId="6" type="noConversion"/>
  </si>
  <si>
    <t>核取</t>
    <phoneticPr fontId="6" type="noConversion"/>
  </si>
  <si>
    <t>混合</t>
    <phoneticPr fontId="6" type="noConversion"/>
  </si>
  <si>
    <t>空白</t>
    <phoneticPr fontId="6" type="noConversion"/>
  </si>
  <si>
    <t>未核取</t>
    <phoneticPr fontId="6" type="noConversion"/>
  </si>
  <si>
    <t>電腦組件訂購單</t>
    <phoneticPr fontId="7" type="noConversion"/>
  </si>
  <si>
    <t>中央處理器</t>
    <phoneticPr fontId="7" type="noConversion"/>
  </si>
  <si>
    <t>單價</t>
    <phoneticPr fontId="7" type="noConversion"/>
  </si>
  <si>
    <t>數量</t>
    <phoneticPr fontId="7" type="noConversion"/>
  </si>
  <si>
    <t>小計</t>
    <phoneticPr fontId="7" type="noConversion"/>
  </si>
  <si>
    <t>記憶體</t>
    <phoneticPr fontId="7" type="noConversion"/>
  </si>
  <si>
    <t>價格</t>
    <phoneticPr fontId="7" type="noConversion"/>
  </si>
  <si>
    <t>合計總價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</si>
</sst>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77" formatCode="&quot;$&quot;#,##0_);[Red]\(&quot;$&quot;#,##0\)"/>
    <numFmt numFmtId="208" formatCode="_-* #,##0_-;\-* #,##0_-;_-* &quot;-&quot;??_-;_-@_-"/>
  </numFmts>
  <fonts count="23">
    <font>
      <sz val="12"/>
      <name val="細明體"/>
      <family val="3"/>
      <charset val="136"/>
    </font>
    <font>
      <sz val="12"/>
      <name val="細明體"/>
      <family val="3"/>
      <charset val="136"/>
    </font>
    <font>
      <sz val="10"/>
      <name val="Helv"/>
      <family val="2"/>
    </font>
    <font>
      <b/>
      <sz val="12"/>
      <name val="Helv"/>
      <family val="2"/>
    </font>
    <font>
      <b/>
      <sz val="12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b/>
      <sz val="12"/>
      <color indexed="10"/>
      <name val="細明體"/>
      <family val="3"/>
      <charset val="136"/>
    </font>
    <font>
      <sz val="12"/>
      <name val="新細明體"/>
      <family val="1"/>
      <charset val="136"/>
    </font>
    <font>
      <sz val="10"/>
      <name val="新細明體"/>
      <family val="1"/>
      <charset val="136"/>
    </font>
    <font>
      <b/>
      <sz val="9"/>
      <color indexed="5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9"/>
      <name val="細明體"/>
      <family val="3"/>
      <charset val="136"/>
    </font>
    <font>
      <sz val="10"/>
      <color indexed="9"/>
      <name val="新細明體"/>
      <family val="1"/>
      <charset val="136"/>
    </font>
    <font>
      <sz val="9"/>
      <name val="Times New Roman"/>
      <family val="1"/>
    </font>
    <font>
      <b/>
      <sz val="12"/>
      <color indexed="12"/>
      <name val="細明體"/>
      <family val="3"/>
      <charset val="136"/>
    </font>
    <font>
      <b/>
      <sz val="12"/>
      <color indexed="12"/>
      <name val="華康古印體(P)"/>
      <family val="1"/>
      <charset val="136"/>
    </font>
    <font>
      <b/>
      <sz val="12"/>
      <color indexed="9"/>
      <name val="細明體"/>
      <family val="3"/>
      <charset val="136"/>
    </font>
    <font>
      <sz val="16"/>
      <color indexed="16"/>
      <name val="華康相撲體(P)"/>
      <family val="1"/>
      <charset val="136"/>
    </font>
    <font>
      <sz val="12"/>
      <color indexed="10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b/>
      <sz val="12"/>
      <color indexed="58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17"/>
      </left>
      <right/>
      <top/>
      <bottom/>
      <diagonal/>
    </border>
    <border>
      <left/>
      <right style="double">
        <color indexed="17"/>
      </right>
      <top/>
      <bottom/>
      <diagonal/>
    </border>
    <border>
      <left style="double">
        <color indexed="17"/>
      </left>
      <right/>
      <top/>
      <bottom style="double">
        <color indexed="17"/>
      </bottom>
      <diagonal/>
    </border>
    <border>
      <left/>
      <right/>
      <top/>
      <bottom style="double">
        <color indexed="17"/>
      </bottom>
      <diagonal/>
    </border>
    <border>
      <left/>
      <right style="double">
        <color indexed="17"/>
      </right>
      <top/>
      <bottom style="double">
        <color indexed="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3" fontId="2" fillId="0" borderId="0"/>
    <xf numFmtId="3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3" fillId="0" borderId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6" fontId="1" fillId="0" borderId="0" applyFont="0" applyFill="0" applyBorder="0" applyAlignment="0" applyProtection="0"/>
  </cellStyleXfs>
  <cellXfs count="63">
    <xf numFmtId="0" fontId="0" fillId="0" borderId="0" xfId="0"/>
    <xf numFmtId="0" fontId="9" fillId="0" borderId="0" xfId="5"/>
    <xf numFmtId="0" fontId="9" fillId="0" borderId="0" xfId="5" applyAlignment="1">
      <alignment horizontal="center"/>
    </xf>
    <xf numFmtId="0" fontId="10" fillId="0" borderId="0" xfId="5" applyFont="1" applyAlignment="1">
      <alignment horizontal="center" vertical="center"/>
    </xf>
    <xf numFmtId="0" fontId="11" fillId="2" borderId="1" xfId="5" applyFont="1" applyFill="1" applyBorder="1" applyAlignment="1">
      <alignment horizontal="center" vertical="center"/>
    </xf>
    <xf numFmtId="0" fontId="10" fillId="0" borderId="0" xfId="5" applyFont="1" applyAlignment="1">
      <alignment horizontal="center" wrapText="1"/>
    </xf>
    <xf numFmtId="0" fontId="12" fillId="3" borderId="1" xfId="5" applyFont="1" applyFill="1" applyBorder="1" applyAlignment="1">
      <alignment horizontal="center" vertical="center"/>
    </xf>
    <xf numFmtId="0" fontId="9" fillId="0" borderId="0" xfId="5" applyAlignment="1">
      <alignment horizontal="center" vertical="center"/>
    </xf>
    <xf numFmtId="0" fontId="0" fillId="0" borderId="0" xfId="0" applyBorder="1"/>
    <xf numFmtId="0" fontId="14" fillId="3" borderId="1" xfId="5" applyFont="1" applyFill="1" applyBorder="1" applyAlignment="1">
      <alignment horizontal="center" vertical="center" wrapText="1"/>
    </xf>
    <xf numFmtId="0" fontId="5" fillId="0" borderId="0" xfId="5" applyFont="1"/>
    <xf numFmtId="208" fontId="9" fillId="0" borderId="0" xfId="6" applyNumberFormat="1" applyFont="1"/>
    <xf numFmtId="0" fontId="0" fillId="0" borderId="0" xfId="0" applyAlignment="1">
      <alignment vertical="center"/>
    </xf>
    <xf numFmtId="9" fontId="18" fillId="3" borderId="1" xfId="0" applyNumberFormat="1" applyFont="1" applyFill="1" applyBorder="1" applyAlignment="1">
      <alignment horizontal="center"/>
    </xf>
    <xf numFmtId="0" fontId="0" fillId="0" borderId="2" xfId="0" applyBorder="1"/>
    <xf numFmtId="0" fontId="13" fillId="0" borderId="0" xfId="0" applyFont="1" applyBorder="1"/>
    <xf numFmtId="0" fontId="0" fillId="0" borderId="3" xfId="0" applyBorder="1"/>
    <xf numFmtId="0" fontId="0" fillId="0" borderId="0" xfId="0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0" fontId="1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1" fillId="2" borderId="1" xfId="5" applyFont="1" applyFill="1" applyBorder="1" applyAlignment="1">
      <alignment horizontal="center" vertical="center" wrapText="1"/>
    </xf>
    <xf numFmtId="0" fontId="12" fillId="3" borderId="7" xfId="5" applyFont="1" applyFill="1" applyBorder="1" applyAlignment="1">
      <alignment horizontal="center" vertical="center"/>
    </xf>
    <xf numFmtId="0" fontId="9" fillId="0" borderId="1" xfId="5" applyFont="1" applyBorder="1" applyAlignment="1">
      <alignment horizontal="center"/>
    </xf>
    <xf numFmtId="0" fontId="20" fillId="0" borderId="0" xfId="5" applyFont="1"/>
    <xf numFmtId="0" fontId="4" fillId="0" borderId="0" xfId="0" applyFont="1"/>
    <xf numFmtId="0" fontId="0" fillId="0" borderId="0" xfId="5" applyFont="1" applyAlignment="1">
      <alignment horizontal="center"/>
    </xf>
    <xf numFmtId="0" fontId="9" fillId="0" borderId="0" xfId="5" applyFont="1"/>
    <xf numFmtId="0" fontId="8" fillId="4" borderId="1" xfId="0" applyFont="1" applyFill="1" applyBorder="1" applyAlignment="1" applyProtection="1">
      <alignment horizontal="center"/>
      <protection locked="0" hidden="1"/>
    </xf>
    <xf numFmtId="0" fontId="13" fillId="0" borderId="0" xfId="0" applyFont="1" applyBorder="1" applyProtection="1">
      <protection locked="0"/>
    </xf>
    <xf numFmtId="208" fontId="0" fillId="2" borderId="1" xfId="6" applyNumberFormat="1" applyFont="1" applyFill="1" applyBorder="1" applyAlignment="1" applyProtection="1">
      <alignment horizontal="center"/>
      <protection hidden="1"/>
    </xf>
    <xf numFmtId="208" fontId="0" fillId="2" borderId="1" xfId="6" applyNumberFormat="1" applyFont="1" applyFill="1" applyBorder="1" applyProtection="1">
      <protection hidden="1"/>
    </xf>
    <xf numFmtId="208" fontId="20" fillId="0" borderId="1" xfId="6" applyNumberFormat="1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 applyProtection="1">
      <alignment horizontal="center"/>
      <protection locked="0" hidden="1"/>
    </xf>
    <xf numFmtId="0" fontId="17" fillId="0" borderId="0" xfId="0" applyFont="1" applyBorder="1" applyAlignment="1">
      <alignment vertical="top"/>
    </xf>
    <xf numFmtId="0" fontId="21" fillId="4" borderId="1" xfId="5" applyFont="1" applyFill="1" applyBorder="1"/>
    <xf numFmtId="0" fontId="22" fillId="0" borderId="0" xfId="5" applyFont="1" applyAlignment="1">
      <alignment horizontal="center"/>
    </xf>
    <xf numFmtId="0" fontId="0" fillId="0" borderId="8" xfId="0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9" fillId="0" borderId="0" xfId="5" applyBorder="1"/>
    <xf numFmtId="10" fontId="9" fillId="0" borderId="0" xfId="7" applyNumberFormat="1" applyFont="1" applyBorder="1"/>
    <xf numFmtId="0" fontId="13" fillId="0" borderId="0" xfId="0" applyFont="1" applyBorder="1" applyAlignment="1" applyProtection="1">
      <alignment horizontal="center"/>
      <protection locked="0" hidden="1"/>
    </xf>
    <xf numFmtId="208" fontId="1" fillId="2" borderId="1" xfId="6" applyNumberFormat="1" applyFill="1" applyBorder="1" applyAlignment="1" applyProtection="1">
      <alignment horizontal="center"/>
      <protection hidden="1"/>
    </xf>
    <xf numFmtId="208" fontId="1" fillId="2" borderId="1" xfId="6" applyNumberFormat="1" applyFill="1" applyBorder="1" applyProtection="1">
      <protection hidden="1"/>
    </xf>
    <xf numFmtId="0" fontId="0" fillId="0" borderId="2" xfId="0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0" xfId="0" applyFont="1" applyBorder="1" applyAlignment="1" applyProtection="1">
      <alignment horizontal="center"/>
      <protection hidden="1"/>
    </xf>
    <xf numFmtId="0" fontId="17" fillId="0" borderId="0" xfId="0" applyFont="1" applyBorder="1" applyAlignment="1">
      <alignment horizontal="center" vertical="center"/>
    </xf>
    <xf numFmtId="208" fontId="16" fillId="5" borderId="7" xfId="0" applyNumberFormat="1" applyFont="1" applyFill="1" applyBorder="1" applyAlignment="1" applyProtection="1">
      <alignment horizontal="center" vertical="center"/>
      <protection hidden="1"/>
    </xf>
    <xf numFmtId="208" fontId="16" fillId="5" borderId="10" xfId="0" applyNumberFormat="1" applyFont="1" applyFill="1" applyBorder="1" applyAlignment="1" applyProtection="1">
      <alignment horizontal="center" vertical="center"/>
      <protection hidden="1"/>
    </xf>
    <xf numFmtId="208" fontId="16" fillId="5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12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</cellXfs>
  <cellStyles count="9">
    <cellStyle name="number" xfId="1"/>
    <cellStyle name="Rounded Comma" xfId="2"/>
    <cellStyle name="Rounded Currency" xfId="3"/>
    <cellStyle name="Title" xfId="4"/>
    <cellStyle name="一般" xfId="0" builtinId="0"/>
    <cellStyle name="一般_表單練習" xfId="5"/>
    <cellStyle name="千分位" xfId="6" builtinId="3"/>
    <cellStyle name="百分比" xfId="7" builtinId="5"/>
    <cellStyle name="貨幣[0]_Macro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$B$1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ist" dx="21" fmlaLink="$D$11" fmlaRange="資料表!$A$2:$A$9" noThreeD="1" sel="4" val="0"/>
</file>

<file path=xl/ctrlProps/ctrlProp7.xml><?xml version="1.0" encoding="utf-8"?>
<formControlPr xmlns="http://schemas.microsoft.com/office/spreadsheetml/2009/9/main" objectType="Drop" dropStyle="combo" dx="21" fmlaLink="$F$11" fmlaRange="資料表!$A$2:$A$9" noThreeD="1" sel="2" val="0"/>
</file>

<file path=xl/ctrlProps/ctrlProp8.xml><?xml version="1.0" encoding="utf-8"?>
<formControlPr xmlns="http://schemas.microsoft.com/office/spreadsheetml/2009/9/main" objectType="Scroll" dx="22" fmlaLink="$J$11" max="100" page="5" val="25"/>
</file>

<file path=xl/ctrlProps/ctrlProp9.xml><?xml version="1.0" encoding="utf-8"?>
<formControlPr xmlns="http://schemas.microsoft.com/office/spreadsheetml/2009/9/main" objectType="Spin" dx="22" fmlaLink="$L$11" max="100" page="10" val="97"/>
</file>

<file path=xl/ctrlProps/ctrlProp10.xml><?xml version="1.0" encoding="utf-8"?>
<formControlPr xmlns="http://schemas.microsoft.com/office/spreadsheetml/2009/9/main" objectType="CheckBox" checked="Checked" fmlaLink="$H$11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ist" dx="21" fmlaLink="$F$19" fmlaRange="資料表!$A$2:$A$9" noThreeD="1" sel="0" val="0"/>
</file>

<file path=xl/ctrlProps/ctrlProp13.xml><?xml version="1.0" encoding="utf-8"?>
<formControlPr xmlns="http://schemas.microsoft.com/office/spreadsheetml/2009/9/main" objectType="CheckBox" fmlaLink="$P$7" lockText="1" noThreeD="1"/>
</file>

<file path=xl/ctrlProps/ctrlProp14.xml><?xml version="1.0" encoding="utf-8"?>
<formControlPr xmlns="http://schemas.microsoft.com/office/spreadsheetml/2009/9/main" objectType="CheckBox" checked="Checked" fmlaLink="$R$7" lockText="1" noThreeD="1"/>
</file>

<file path=xl/ctrlProps/ctrlProp15.xml><?xml version="1.0" encoding="utf-8"?>
<formControlPr xmlns="http://schemas.microsoft.com/office/spreadsheetml/2009/9/main" objectType="CheckBox" checked="Mixed" fmlaLink="$T$7" lockText="1" noThreeD="1"/>
</file>

<file path=xl/ctrlProps/ctrlProp16.xml><?xml version="1.0" encoding="utf-8"?>
<formControlPr xmlns="http://schemas.microsoft.com/office/spreadsheetml/2009/9/main" objectType="CheckBox" fmlaLink="$V$7" lockText="1" noThreeD="1"/>
</file>

<file path=xl/ctrlProps/ctrlProp17.xml><?xml version="1.0" encoding="utf-8"?>
<formControlPr xmlns="http://schemas.microsoft.com/office/spreadsheetml/2009/9/main" objectType="Drop" dropLines="4" dropStyle="combo" dx="21" fmlaLink="$E4" fmlaRange="電腦配件價目表!$B$3:$B$6" noThreeD="1" sel="2" val="0"/>
</file>

<file path=xl/ctrlProps/ctrlProp18.xml><?xml version="1.0" encoding="utf-8"?>
<formControlPr xmlns="http://schemas.microsoft.com/office/spreadsheetml/2009/9/main" objectType="List" dx="21" fmlaLink="$E$8" fmlaRange="電腦配件價目表!$B$9:$B$11" noThreeD="1" sel="3" val="0"/>
</file>

<file path=xl/ctrlProps/ctrlProp19.xml><?xml version="1.0" encoding="utf-8"?>
<formControlPr xmlns="http://schemas.microsoft.com/office/spreadsheetml/2009/9/main" objectType="CheckBox" checked="Checked" fmlaLink="$B$13" lockText="1" noThreeD="1"/>
</file>

<file path=xl/ctrlProps/ctrlProp20.xml><?xml version="1.0" encoding="utf-8"?>
<formControlPr xmlns="http://schemas.microsoft.com/office/spreadsheetml/2009/9/main" objectType="CheckBox" checked="Checked" fmlaLink="$B$14" lockText="1" noThreeD="1"/>
</file>

<file path=xl/ctrlProps/ctrlProp21.xml><?xml version="1.0" encoding="utf-8"?>
<formControlPr xmlns="http://schemas.microsoft.com/office/spreadsheetml/2009/9/main" objectType="CheckBox" fmlaLink="$B$15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firstButton="1" fmlaLink="$G$13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Spin" dx="22" fmlaLink="$H$4" max="10" page="10" val="4"/>
</file>

<file path=xl/ctrlProps/ctrlProp26.xml><?xml version="1.0" encoding="utf-8"?>
<formControlPr xmlns="http://schemas.microsoft.com/office/spreadsheetml/2009/9/main" objectType="Spin" dx="22" fmlaLink="$H$8" max="10" page="10" val="3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123825</xdr:rowOff>
        </xdr:from>
        <xdr:to>
          <xdr:col>1</xdr:col>
          <xdr:colOff>714375</xdr:colOff>
          <xdr:row>8</xdr:row>
          <xdr:rowOff>171450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學歷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3</xdr:row>
          <xdr:rowOff>123825</xdr:rowOff>
        </xdr:from>
        <xdr:to>
          <xdr:col>1</xdr:col>
          <xdr:colOff>657225</xdr:colOff>
          <xdr:row>4</xdr:row>
          <xdr:rowOff>114300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國中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152400</xdr:rowOff>
        </xdr:from>
        <xdr:to>
          <xdr:col>1</xdr:col>
          <xdr:colOff>657225</xdr:colOff>
          <xdr:row>5</xdr:row>
          <xdr:rowOff>171450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高中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6</xdr:row>
          <xdr:rowOff>9525</xdr:rowOff>
        </xdr:from>
        <xdr:to>
          <xdr:col>1</xdr:col>
          <xdr:colOff>657225</xdr:colOff>
          <xdr:row>7</xdr:row>
          <xdr:rowOff>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大專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7</xdr:row>
          <xdr:rowOff>38100</xdr:rowOff>
        </xdr:from>
        <xdr:to>
          <xdr:col>1</xdr:col>
          <xdr:colOff>657225</xdr:colOff>
          <xdr:row>8</xdr:row>
          <xdr:rowOff>28575</xdr:rowOff>
        </xdr:to>
        <xdr:sp macro="" textlink="">
          <xdr:nvSpPr>
            <xdr:cNvPr id="5125" name="Option 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研究所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19050</xdr:rowOff>
        </xdr:from>
        <xdr:to>
          <xdr:col>3</xdr:col>
          <xdr:colOff>723900</xdr:colOff>
          <xdr:row>6</xdr:row>
          <xdr:rowOff>0</xdr:rowOff>
        </xdr:to>
        <xdr:sp macro="" textlink="">
          <xdr:nvSpPr>
            <xdr:cNvPr id="5126" name="List Box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9525</xdr:rowOff>
        </xdr:from>
        <xdr:to>
          <xdr:col>5</xdr:col>
          <xdr:colOff>771525</xdr:colOff>
          <xdr:row>3</xdr:row>
          <xdr:rowOff>200025</xdr:rowOff>
        </xdr:to>
        <xdr:sp macro="" textlink="">
          <xdr:nvSpPr>
            <xdr:cNvPr id="5127" name="Drop Dow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3</xdr:row>
          <xdr:rowOff>38100</xdr:rowOff>
        </xdr:from>
        <xdr:to>
          <xdr:col>9</xdr:col>
          <xdr:colOff>657225</xdr:colOff>
          <xdr:row>8</xdr:row>
          <xdr:rowOff>114300</xdr:rowOff>
        </xdr:to>
        <xdr:sp macro="" textlink="">
          <xdr:nvSpPr>
            <xdr:cNvPr id="5128" name="Scroll Bar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3</xdr:row>
          <xdr:rowOff>85725</xdr:rowOff>
        </xdr:from>
        <xdr:to>
          <xdr:col>11</xdr:col>
          <xdr:colOff>419100</xdr:colOff>
          <xdr:row>6</xdr:row>
          <xdr:rowOff>28575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142875</xdr:rowOff>
        </xdr:from>
        <xdr:to>
          <xdr:col>8</xdr:col>
          <xdr:colOff>28575</xdr:colOff>
          <xdr:row>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申請宿舍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3</xdr:row>
          <xdr:rowOff>104775</xdr:rowOff>
        </xdr:from>
        <xdr:to>
          <xdr:col>13</xdr:col>
          <xdr:colOff>571500</xdr:colOff>
          <xdr:row>6</xdr:row>
          <xdr:rowOff>28575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設定格式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16</xdr:row>
          <xdr:rowOff>66675</xdr:rowOff>
        </xdr:from>
        <xdr:to>
          <xdr:col>4</xdr:col>
          <xdr:colOff>19050</xdr:colOff>
          <xdr:row>18</xdr:row>
          <xdr:rowOff>142875</xdr:rowOff>
        </xdr:to>
        <xdr:sp macro="" textlink="">
          <xdr:nvSpPr>
            <xdr:cNvPr id="5133" name="List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4</xdr:row>
          <xdr:rowOff>9525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核取方塊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304800</xdr:colOff>
          <xdr:row>4</xdr:row>
          <xdr:rowOff>0</xdr:rowOff>
        </xdr:from>
        <xdr:to>
          <xdr:col>18</xdr:col>
          <xdr:colOff>171450</xdr:colOff>
          <xdr:row>4</xdr:row>
          <xdr:rowOff>200025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核取方塊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</xdr:row>
          <xdr:rowOff>9525</xdr:rowOff>
        </xdr:from>
        <xdr:to>
          <xdr:col>20</xdr:col>
          <xdr:colOff>114300</xdr:colOff>
          <xdr:row>5</xdr:row>
          <xdr:rowOff>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核取方塊 24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4</xdr:row>
          <xdr:rowOff>9525</xdr:rowOff>
        </xdr:from>
        <xdr:to>
          <xdr:col>22</xdr:col>
          <xdr:colOff>209550</xdr:colOff>
          <xdr:row>5</xdr:row>
          <xdr:rowOff>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核取方塊 25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</xdr:row>
          <xdr:rowOff>19050</xdr:rowOff>
        </xdr:from>
        <xdr:to>
          <xdr:col>3</xdr:col>
          <xdr:colOff>428625</xdr:colOff>
          <xdr:row>4</xdr:row>
          <xdr:rowOff>66675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0</xdr:rowOff>
        </xdr:from>
        <xdr:to>
          <xdr:col>3</xdr:col>
          <xdr:colOff>438150</xdr:colOff>
          <xdr:row>8</xdr:row>
          <xdr:rowOff>171450</xdr:rowOff>
        </xdr:to>
        <xdr:sp macro="" textlink="">
          <xdr:nvSpPr>
            <xdr:cNvPr id="4098" name="List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12</xdr:row>
          <xdr:rowOff>19050</xdr:rowOff>
        </xdr:from>
        <xdr:to>
          <xdr:col>2</xdr:col>
          <xdr:colOff>847725</xdr:colOff>
          <xdr:row>13</xdr:row>
          <xdr:rowOff>19050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14</xdr:row>
          <xdr:rowOff>19050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14</xdr:row>
          <xdr:rowOff>9525</xdr:rowOff>
        </xdr:from>
        <xdr:to>
          <xdr:col>2</xdr:col>
          <xdr:colOff>857250</xdr:colOff>
          <xdr:row>15</xdr:row>
          <xdr:rowOff>9525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CD-ROM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10</xdr:row>
          <xdr:rowOff>9525</xdr:rowOff>
        </xdr:from>
        <xdr:to>
          <xdr:col>5</xdr:col>
          <xdr:colOff>742950</xdr:colOff>
          <xdr:row>15</xdr:row>
          <xdr:rowOff>123825</xdr:rowOff>
        </xdr:to>
        <xdr:sp macro="" textlink="">
          <xdr:nvSpPr>
            <xdr:cNvPr id="4102" name="Group Box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燒錄器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10</xdr:row>
          <xdr:rowOff>276225</xdr:rowOff>
        </xdr:from>
        <xdr:to>
          <xdr:col>5</xdr:col>
          <xdr:colOff>552450</xdr:colOff>
          <xdr:row>12</xdr:row>
          <xdr:rowOff>19050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 w="127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CD-R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12</xdr:row>
          <xdr:rowOff>95250</xdr:rowOff>
        </xdr:from>
        <xdr:to>
          <xdr:col>5</xdr:col>
          <xdr:colOff>552450</xdr:colOff>
          <xdr:row>13</xdr:row>
          <xdr:rowOff>123825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 w="127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CD-RW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3</xdr:row>
          <xdr:rowOff>38100</xdr:rowOff>
        </xdr:from>
        <xdr:to>
          <xdr:col>6</xdr:col>
          <xdr:colOff>590550</xdr:colOff>
          <xdr:row>3</xdr:row>
          <xdr:rowOff>200025</xdr:rowOff>
        </xdr:to>
        <xdr:sp macro="" textlink="">
          <xdr:nvSpPr>
            <xdr:cNvPr id="4107" name="Spinner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7</xdr:row>
          <xdr:rowOff>28575</xdr:rowOff>
        </xdr:from>
        <xdr:to>
          <xdr:col>6</xdr:col>
          <xdr:colOff>590550</xdr:colOff>
          <xdr:row>7</xdr:row>
          <xdr:rowOff>200025</xdr:rowOff>
        </xdr:to>
        <xdr:sp macro="" textlink="">
          <xdr:nvSpPr>
            <xdr:cNvPr id="4108" name="Spinner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4109" name="Rectangle 13"/>
        <xdr:cNvSpPr>
          <a:spLocks noChangeArrowheads="1"/>
        </xdr:cNvSpPr>
      </xdr:nvSpPr>
      <xdr:spPr bwMode="auto">
        <a:xfrm>
          <a:off x="457200" y="238125"/>
          <a:ext cx="5695950" cy="276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13</xdr:row>
          <xdr:rowOff>200025</xdr:rowOff>
        </xdr:from>
        <xdr:to>
          <xdr:col>5</xdr:col>
          <xdr:colOff>552450</xdr:colOff>
          <xdr:row>15</xdr:row>
          <xdr:rowOff>19050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 w="127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不選購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10</xdr:row>
          <xdr:rowOff>171450</xdr:rowOff>
        </xdr:from>
        <xdr:to>
          <xdr:col>3</xdr:col>
          <xdr:colOff>0</xdr:colOff>
          <xdr:row>15</xdr:row>
          <xdr:rowOff>104775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選購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9227" name="Rectangle 11"/>
        <xdr:cNvSpPr>
          <a:spLocks noChangeArrowheads="1"/>
        </xdr:cNvSpPr>
      </xdr:nvSpPr>
      <xdr:spPr bwMode="auto">
        <a:xfrm>
          <a:off x="228600" y="238125"/>
          <a:ext cx="5695950" cy="276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opLeftCell="B1" workbookViewId="0"/>
  </sheetViews>
  <sheetFormatPr defaultColWidth="8" defaultRowHeight="16.5"/>
  <cols>
    <col min="1" max="1" width="9.375" style="1" bestFit="1" customWidth="1"/>
    <col min="2" max="16384" width="8" style="1"/>
  </cols>
  <sheetData>
    <row r="1" spans="1:6">
      <c r="A1" s="1" t="s">
        <v>0</v>
      </c>
      <c r="B1" s="33" t="s">
        <v>34</v>
      </c>
    </row>
    <row r="2" spans="1:6">
      <c r="A2" s="1" t="s">
        <v>1</v>
      </c>
      <c r="B2" s="1">
        <v>100000</v>
      </c>
    </row>
    <row r="3" spans="1:6">
      <c r="A3" s="1" t="s">
        <v>2</v>
      </c>
      <c r="B3" s="1">
        <v>90000</v>
      </c>
    </row>
    <row r="4" spans="1:6">
      <c r="A4" s="1" t="s">
        <v>3</v>
      </c>
      <c r="B4" s="1">
        <v>80000</v>
      </c>
    </row>
    <row r="5" spans="1:6">
      <c r="A5" s="1" t="s">
        <v>4</v>
      </c>
      <c r="B5" s="1">
        <v>75000</v>
      </c>
    </row>
    <row r="6" spans="1:6">
      <c r="A6" s="1" t="s">
        <v>5</v>
      </c>
      <c r="B6" s="1">
        <v>70000</v>
      </c>
    </row>
    <row r="7" spans="1:6">
      <c r="A7" s="1" t="s">
        <v>6</v>
      </c>
      <c r="B7" s="1">
        <v>60000</v>
      </c>
    </row>
    <row r="8" spans="1:6">
      <c r="A8" s="1" t="s">
        <v>7</v>
      </c>
      <c r="B8" s="1">
        <v>50000</v>
      </c>
    </row>
    <row r="9" spans="1:6">
      <c r="A9" s="1" t="s">
        <v>8</v>
      </c>
      <c r="B9" s="1">
        <v>40000</v>
      </c>
      <c r="F9" s="34"/>
    </row>
  </sheetData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4"/>
  <sheetViews>
    <sheetView showGridLines="0" tabSelected="1" workbookViewId="0">
      <selection activeCell="R12" sqref="R12"/>
    </sheetView>
  </sheetViews>
  <sheetFormatPr defaultColWidth="8" defaultRowHeight="16.5"/>
  <cols>
    <col min="1" max="1" width="6.25" style="1" customWidth="1"/>
    <col min="2" max="2" width="11.625" style="1" customWidth="1"/>
    <col min="3" max="3" width="2.375" style="1" customWidth="1"/>
    <col min="4" max="4" width="10.875" style="1" customWidth="1"/>
    <col min="5" max="5" width="3.5" style="1" customWidth="1"/>
    <col min="6" max="6" width="10.625" style="1" customWidth="1"/>
    <col min="7" max="7" width="2.25" style="1" customWidth="1"/>
    <col min="8" max="8" width="9.75" style="1" customWidth="1"/>
    <col min="9" max="9" width="2.5" customWidth="1"/>
    <col min="10" max="10" width="13.375" style="1" customWidth="1"/>
    <col min="11" max="11" width="1.875" style="1" customWidth="1"/>
    <col min="12" max="12" width="6.5" style="1" customWidth="1"/>
    <col min="13" max="13" width="2.125" style="1" customWidth="1"/>
    <col min="14" max="15" width="8" style="1" customWidth="1"/>
    <col min="16" max="16" width="10.75" style="1" customWidth="1"/>
    <col min="17" max="17" width="4.5" style="1" customWidth="1"/>
    <col min="18" max="18" width="8" style="1" customWidth="1"/>
    <col min="19" max="19" width="4" style="1" customWidth="1"/>
    <col min="20" max="20" width="8.75" style="1" customWidth="1"/>
    <col min="21" max="21" width="4.375" style="1" customWidth="1"/>
    <col min="22" max="16384" width="8" style="1"/>
  </cols>
  <sheetData>
    <row r="1" spans="1:22" ht="13.5" customHeight="1"/>
    <row r="2" spans="1:22" s="3" customFormat="1" ht="27.75" customHeight="1">
      <c r="B2" s="28" t="s">
        <v>9</v>
      </c>
      <c r="D2" s="4" t="s">
        <v>10</v>
      </c>
      <c r="F2" s="4" t="s">
        <v>48</v>
      </c>
      <c r="H2" s="4" t="s">
        <v>12</v>
      </c>
      <c r="J2" s="4" t="s">
        <v>11</v>
      </c>
      <c r="L2" s="28" t="s">
        <v>13</v>
      </c>
      <c r="N2" s="4" t="s">
        <v>32</v>
      </c>
    </row>
    <row r="3" spans="1:22" ht="12.6" customHeight="1"/>
    <row r="4" spans="1:22">
      <c r="L4" s="48"/>
    </row>
    <row r="5" spans="1:22">
      <c r="L5" s="48"/>
    </row>
    <row r="6" spans="1:22">
      <c r="L6" s="48"/>
    </row>
    <row r="7" spans="1:22">
      <c r="P7" s="43" t="b">
        <v>0</v>
      </c>
      <c r="R7" s="43" t="b">
        <v>1</v>
      </c>
      <c r="T7" s="43" t="e">
        <v>#N/A</v>
      </c>
      <c r="V7" s="43"/>
    </row>
    <row r="8" spans="1:22">
      <c r="P8" s="44" t="s">
        <v>52</v>
      </c>
      <c r="Q8" s="2"/>
      <c r="R8" s="44" t="s">
        <v>49</v>
      </c>
      <c r="S8" s="2"/>
      <c r="T8" s="44" t="s">
        <v>50</v>
      </c>
      <c r="U8" s="2"/>
      <c r="V8" s="44" t="s">
        <v>51</v>
      </c>
    </row>
    <row r="10" spans="1:22">
      <c r="L10" s="49"/>
    </row>
    <row r="11" spans="1:22" s="2" customFormat="1" ht="33" customHeight="1">
      <c r="A11" s="5" t="s">
        <v>33</v>
      </c>
      <c r="B11" s="6">
        <v>4</v>
      </c>
      <c r="C11" s="7"/>
      <c r="D11" s="29">
        <v>4</v>
      </c>
      <c r="E11" s="7"/>
      <c r="F11" s="6">
        <v>2</v>
      </c>
      <c r="G11" s="7"/>
      <c r="H11" s="6" t="b">
        <v>1</v>
      </c>
      <c r="J11" s="6">
        <v>25</v>
      </c>
      <c r="K11" s="7"/>
      <c r="L11" s="6">
        <v>97</v>
      </c>
      <c r="N11" s="9" t="s">
        <v>14</v>
      </c>
    </row>
    <row r="13" spans="1:22">
      <c r="B13" s="10" t="s">
        <v>35</v>
      </c>
      <c r="D13" s="30" t="s">
        <v>34</v>
      </c>
      <c r="F13" s="30" t="s">
        <v>34</v>
      </c>
    </row>
    <row r="14" spans="1:22">
      <c r="D14" s="39">
        <f>INDEX(資料表!B2:B9,D11)</f>
        <v>75000</v>
      </c>
      <c r="E14" s="31"/>
      <c r="F14" s="39">
        <f>INDEX(資料表!B2:B9,F11)</f>
        <v>90000</v>
      </c>
    </row>
  </sheetData>
  <phoneticPr fontId="6" type="noConversion"/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 sizeWithCells="1">
                  <from>
                    <xdr:col>0</xdr:col>
                    <xdr:colOff>190500</xdr:colOff>
                    <xdr:row>2</xdr:row>
                    <xdr:rowOff>123825</xdr:rowOff>
                  </from>
                  <to>
                    <xdr:col>1</xdr:col>
                    <xdr:colOff>714375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>
                <anchor moveWithCells="1" sizeWithCells="1">
                  <from>
                    <xdr:col>0</xdr:col>
                    <xdr:colOff>381000</xdr:colOff>
                    <xdr:row>3</xdr:row>
                    <xdr:rowOff>123825</xdr:rowOff>
                  </from>
                  <to>
                    <xdr:col>1</xdr:col>
                    <xdr:colOff>657225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Option Button 3">
              <controlPr defaultSize="0" autoFill="0" autoLine="0" autoPict="0">
                <anchor moveWithCells="1" sizeWithCells="1">
                  <from>
                    <xdr:col>0</xdr:col>
                    <xdr:colOff>381000</xdr:colOff>
                    <xdr:row>4</xdr:row>
                    <xdr:rowOff>152400</xdr:rowOff>
                  </from>
                  <to>
                    <xdr:col>1</xdr:col>
                    <xdr:colOff>657225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Option Button 4">
              <controlPr defaultSize="0" autoFill="0" autoLine="0" autoPict="0">
                <anchor moveWithCells="1" sizeWithCells="1">
                  <from>
                    <xdr:col>0</xdr:col>
                    <xdr:colOff>381000</xdr:colOff>
                    <xdr:row>6</xdr:row>
                    <xdr:rowOff>9525</xdr:rowOff>
                  </from>
                  <to>
                    <xdr:col>1</xdr:col>
                    <xdr:colOff>657225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Option Button 5">
              <controlPr defaultSize="0" autoFill="0" autoLine="0" autoPict="0">
                <anchor moveWithCells="1" sizeWithCells="1">
                  <from>
                    <xdr:col>0</xdr:col>
                    <xdr:colOff>381000</xdr:colOff>
                    <xdr:row>7</xdr:row>
                    <xdr:rowOff>38100</xdr:rowOff>
                  </from>
                  <to>
                    <xdr:col>1</xdr:col>
                    <xdr:colOff>657225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List Box 6">
              <controlPr defaultSize="0" autoLine="0" autoPict="0">
                <anchor moveWithCells="1">
                  <from>
                    <xdr:col>3</xdr:col>
                    <xdr:colOff>19050</xdr:colOff>
                    <xdr:row>3</xdr:row>
                    <xdr:rowOff>19050</xdr:rowOff>
                  </from>
                  <to>
                    <xdr:col>3</xdr:col>
                    <xdr:colOff>723900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Drop Down 7">
              <controlPr defaultSize="0" autoLine="0" autoPict="0">
                <anchor moveWithCells="1">
                  <from>
                    <xdr:col>5</xdr:col>
                    <xdr:colOff>19050</xdr:colOff>
                    <xdr:row>3</xdr:row>
                    <xdr:rowOff>9525</xdr:rowOff>
                  </from>
                  <to>
                    <xdr:col>5</xdr:col>
                    <xdr:colOff>771525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Scroll Bar 8">
              <controlPr defaultSize="0" autoPict="0">
                <anchor moveWithCells="1">
                  <from>
                    <xdr:col>9</xdr:col>
                    <xdr:colOff>438150</xdr:colOff>
                    <xdr:row>3</xdr:row>
                    <xdr:rowOff>38100</xdr:rowOff>
                  </from>
                  <to>
                    <xdr:col>9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Spinner 9">
              <controlPr defaultSize="0" autoPict="0">
                <anchor moveWithCells="1" sizeWithCells="1">
                  <from>
                    <xdr:col>11</xdr:col>
                    <xdr:colOff>114300</xdr:colOff>
                    <xdr:row>3</xdr:row>
                    <xdr:rowOff>85725</xdr:rowOff>
                  </from>
                  <to>
                    <xdr:col>11</xdr:col>
                    <xdr:colOff>419100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7</xdr:col>
                    <xdr:colOff>19050</xdr:colOff>
                    <xdr:row>2</xdr:row>
                    <xdr:rowOff>142875</xdr:rowOff>
                  </from>
                  <to>
                    <xdr:col>8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設定表格">
                <anchor moveWithCells="1" sizeWithCells="1">
                  <from>
                    <xdr:col>13</xdr:col>
                    <xdr:colOff>85725</xdr:colOff>
                    <xdr:row>3</xdr:row>
                    <xdr:rowOff>104775</xdr:rowOff>
                  </from>
                  <to>
                    <xdr:col>13</xdr:col>
                    <xdr:colOff>571500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List Box 13">
              <controlPr defaultSize="0" autoLine="0" autoPict="0">
                <anchor moveWithCells="1">
                  <from>
                    <xdr:col>3</xdr:col>
                    <xdr:colOff>66675</xdr:colOff>
                    <xdr:row>16</xdr:row>
                    <xdr:rowOff>66675</xdr:rowOff>
                  </from>
                  <to>
                    <xdr:col>4</xdr:col>
                    <xdr:colOff>19050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6" name="Check Box 22">
              <controlPr defaultSize="0" autoFill="0" autoLine="0" autoPict="0">
                <anchor moveWithCells="1">
                  <from>
                    <xdr:col>15</xdr:col>
                    <xdr:colOff>9525</xdr:colOff>
                    <xdr:row>4</xdr:row>
                    <xdr:rowOff>9525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7" name="Check Box 23">
              <controlPr defaultSize="0" autoFill="0" autoLine="0" autoPict="0">
                <anchor moveWithCells="1">
                  <from>
                    <xdr:col>16</xdr:col>
                    <xdr:colOff>304800</xdr:colOff>
                    <xdr:row>4</xdr:row>
                    <xdr:rowOff>0</xdr:rowOff>
                  </from>
                  <to>
                    <xdr:col>18</xdr:col>
                    <xdr:colOff>171450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8" name="Check Box 24">
              <controlPr defaultSize="0" autoFill="0" autoLine="0" autoPict="0">
                <anchor moveWithCells="1">
                  <from>
                    <xdr:col>18</xdr:col>
                    <xdr:colOff>266700</xdr:colOff>
                    <xdr:row>4</xdr:row>
                    <xdr:rowOff>9525</xdr:rowOff>
                  </from>
                  <to>
                    <xdr:col>20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9" name="Check Box 25">
              <controlPr defaultSize="0" autoFill="0" autoLine="0" autoPict="0">
                <anchor moveWithCells="1">
                  <from>
                    <xdr:col>20</xdr:col>
                    <xdr:colOff>542925</xdr:colOff>
                    <xdr:row>4</xdr:row>
                    <xdr:rowOff>9525</xdr:rowOff>
                  </from>
                  <to>
                    <xdr:col>22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14"/>
  <sheetViews>
    <sheetView workbookViewId="0">
      <selection activeCell="D17" sqref="D17"/>
    </sheetView>
  </sheetViews>
  <sheetFormatPr defaultColWidth="8" defaultRowHeight="16.5"/>
  <cols>
    <col min="1" max="1" width="8" style="1" customWidth="1"/>
    <col min="2" max="2" width="14.375" style="1" customWidth="1"/>
    <col min="3" max="3" width="4.125" style="1" customWidth="1"/>
    <col min="4" max="4" width="12.625" style="1" customWidth="1"/>
    <col min="5" max="5" width="3.75" style="1" customWidth="1"/>
    <col min="6" max="6" width="11.25" style="1" customWidth="1"/>
    <col min="7" max="7" width="4.25" style="1" customWidth="1"/>
    <col min="8" max="8" width="8.875" style="1" customWidth="1"/>
    <col min="9" max="9" width="2.625" style="1" customWidth="1"/>
    <col min="10" max="10" width="8" style="1" customWidth="1"/>
    <col min="11" max="11" width="4.25" style="1" customWidth="1"/>
    <col min="12" max="12" width="8" style="1" customWidth="1"/>
    <col min="13" max="13" width="4.25" style="1" customWidth="1"/>
    <col min="14" max="16384" width="8" style="1"/>
  </cols>
  <sheetData>
    <row r="2" spans="1:14" ht="22.5">
      <c r="B2" s="28" t="s">
        <v>38</v>
      </c>
      <c r="C2" s="3"/>
      <c r="D2" s="4" t="s">
        <v>39</v>
      </c>
      <c r="E2" s="3"/>
      <c r="F2" s="4" t="s">
        <v>40</v>
      </c>
      <c r="G2" s="3"/>
      <c r="H2" s="4" t="s">
        <v>41</v>
      </c>
      <c r="I2" s="3"/>
      <c r="J2" s="4" t="s">
        <v>42</v>
      </c>
      <c r="K2" s="3"/>
      <c r="L2" s="28" t="s">
        <v>43</v>
      </c>
      <c r="M2" s="3"/>
      <c r="N2" s="4" t="s">
        <v>44</v>
      </c>
    </row>
    <row r="12" spans="1:14" ht="28.5">
      <c r="A12" s="5" t="s">
        <v>45</v>
      </c>
      <c r="B12" s="6"/>
      <c r="C12" s="7"/>
      <c r="D12" s="6"/>
      <c r="E12" s="7"/>
      <c r="F12" s="6"/>
      <c r="G12" s="7"/>
      <c r="H12" s="6"/>
      <c r="I12" s="7"/>
      <c r="J12" s="6"/>
      <c r="K12" s="7"/>
      <c r="L12" s="6"/>
      <c r="M12" s="2"/>
      <c r="N12" s="9" t="s">
        <v>46</v>
      </c>
    </row>
    <row r="13" spans="1:14">
      <c r="D13" s="1" t="s">
        <v>36</v>
      </c>
      <c r="F13" s="1" t="s">
        <v>36</v>
      </c>
    </row>
    <row r="14" spans="1:14">
      <c r="B14" s="1" t="s">
        <v>37</v>
      </c>
    </row>
  </sheetData>
  <phoneticPr fontId="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1"/>
  <sheetViews>
    <sheetView workbookViewId="0">
      <selection activeCell="C20" sqref="C20"/>
    </sheetView>
  </sheetViews>
  <sheetFormatPr defaultColWidth="8" defaultRowHeight="16.5"/>
  <cols>
    <col min="1" max="1" width="2.625" style="1" customWidth="1"/>
    <col min="2" max="2" width="32.125" style="1" customWidth="1"/>
    <col min="3" max="3" width="9" style="1" bestFit="1" customWidth="1"/>
    <col min="4" max="4" width="8" style="1" customWidth="1"/>
    <col min="5" max="5" width="8.875" style="1" customWidth="1"/>
    <col min="6" max="16384" width="8" style="1"/>
  </cols>
  <sheetData>
    <row r="2" spans="2:3">
      <c r="B2" s="10" t="s">
        <v>18</v>
      </c>
      <c r="C2" s="34" t="s">
        <v>47</v>
      </c>
    </row>
    <row r="3" spans="2:3">
      <c r="B3" s="1" t="s">
        <v>15</v>
      </c>
      <c r="C3" s="11">
        <v>4700</v>
      </c>
    </row>
    <row r="4" spans="2:3">
      <c r="B4" s="1" t="s">
        <v>16</v>
      </c>
      <c r="C4" s="11">
        <v>5000</v>
      </c>
    </row>
    <row r="5" spans="2:3">
      <c r="B5" s="1" t="s">
        <v>17</v>
      </c>
      <c r="C5" s="11">
        <v>6500</v>
      </c>
    </row>
    <row r="6" spans="2:3">
      <c r="B6" s="1" t="s">
        <v>23</v>
      </c>
      <c r="C6" s="11">
        <v>7900</v>
      </c>
    </row>
    <row r="8" spans="2:3">
      <c r="B8" s="10" t="s">
        <v>19</v>
      </c>
    </row>
    <row r="9" spans="2:3">
      <c r="B9" s="1" t="s">
        <v>20</v>
      </c>
      <c r="C9" s="1">
        <v>3600</v>
      </c>
    </row>
    <row r="10" spans="2:3">
      <c r="B10" s="1" t="s">
        <v>21</v>
      </c>
      <c r="C10" s="1">
        <v>1700</v>
      </c>
    </row>
    <row r="11" spans="2:3">
      <c r="B11" s="1" t="s">
        <v>22</v>
      </c>
      <c r="C11" s="1">
        <v>2500</v>
      </c>
    </row>
  </sheetData>
  <phoneticPr fontId="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18"/>
  <sheetViews>
    <sheetView showGridLines="0" workbookViewId="0">
      <selection activeCell="M7" sqref="M7"/>
    </sheetView>
  </sheetViews>
  <sheetFormatPr defaultRowHeight="16.5"/>
  <cols>
    <col min="1" max="1" width="6" customWidth="1"/>
    <col min="2" max="2" width="5.875" customWidth="1"/>
    <col min="3" max="3" width="12.75" customWidth="1"/>
    <col min="4" max="4" width="7.625" customWidth="1"/>
    <col min="5" max="5" width="5.875" customWidth="1"/>
    <col min="6" max="6" width="10.625" customWidth="1"/>
    <col min="8" max="8" width="4.75" customWidth="1"/>
    <col min="9" max="9" width="2.5" customWidth="1"/>
    <col min="10" max="10" width="12.75" bestFit="1" customWidth="1"/>
    <col min="11" max="11" width="3" customWidth="1"/>
    <col min="12" max="12" width="3.25" customWidth="1"/>
  </cols>
  <sheetData>
    <row r="1" spans="2:13" ht="18.75" customHeight="1" thickBot="1">
      <c r="B1" s="32"/>
    </row>
    <row r="2" spans="2:13" ht="22.15" customHeight="1" thickBot="1">
      <c r="B2" s="60" t="s">
        <v>31</v>
      </c>
      <c r="C2" s="61"/>
      <c r="D2" s="61"/>
      <c r="E2" s="61"/>
      <c r="F2" s="61"/>
      <c r="G2" s="61"/>
      <c r="H2" s="61"/>
      <c r="I2" s="61"/>
      <c r="J2" s="61"/>
      <c r="K2" s="62"/>
      <c r="M2" s="8"/>
    </row>
    <row r="3" spans="2:13" s="12" customFormat="1" ht="21.6" customHeight="1">
      <c r="B3" s="23"/>
      <c r="C3" s="24" t="s">
        <v>27</v>
      </c>
      <c r="D3" s="25"/>
      <c r="E3" s="25"/>
      <c r="F3" s="26" t="s">
        <v>24</v>
      </c>
      <c r="G3" s="56" t="s">
        <v>28</v>
      </c>
      <c r="H3" s="56"/>
      <c r="I3" s="25"/>
      <c r="J3" s="25" t="s">
        <v>29</v>
      </c>
      <c r="K3" s="27"/>
      <c r="M3" s="25"/>
    </row>
    <row r="4" spans="2:13">
      <c r="B4" s="14"/>
      <c r="C4" s="8"/>
      <c r="D4" s="8"/>
      <c r="E4" s="50">
        <v>2</v>
      </c>
      <c r="F4" s="37">
        <f>INDEX(電腦配件價目表!C3:C6,E4)</f>
        <v>5000</v>
      </c>
      <c r="G4" s="8"/>
      <c r="H4" s="35">
        <v>4</v>
      </c>
      <c r="I4" s="8"/>
      <c r="J4" s="38">
        <f>H4*F4</f>
        <v>20000</v>
      </c>
      <c r="K4" s="16"/>
      <c r="M4" s="8"/>
    </row>
    <row r="5" spans="2:13" ht="12.2" customHeight="1">
      <c r="B5" s="14"/>
      <c r="C5" s="8"/>
      <c r="D5" s="8"/>
      <c r="E5" s="15"/>
      <c r="F5" s="17"/>
      <c r="G5" s="8"/>
      <c r="H5" s="8"/>
      <c r="I5" s="8"/>
      <c r="J5" s="8"/>
      <c r="K5" s="16"/>
      <c r="M5" s="8"/>
    </row>
    <row r="6" spans="2:13" ht="8.4499999999999993" customHeight="1">
      <c r="B6" s="14"/>
      <c r="C6" s="8"/>
      <c r="D6" s="8"/>
      <c r="E6" s="15"/>
      <c r="F6" s="17"/>
      <c r="G6" s="8"/>
      <c r="H6" s="8"/>
      <c r="I6" s="8"/>
      <c r="J6" s="8"/>
      <c r="K6" s="16"/>
    </row>
    <row r="7" spans="2:13" ht="18" customHeight="1">
      <c r="B7" s="14"/>
      <c r="C7" s="42" t="s">
        <v>26</v>
      </c>
      <c r="D7" s="8"/>
      <c r="E7" s="15"/>
      <c r="F7" s="17"/>
      <c r="G7" s="8"/>
      <c r="H7" s="8"/>
      <c r="I7" s="8"/>
      <c r="J7" s="8"/>
      <c r="K7" s="16"/>
    </row>
    <row r="8" spans="2:13">
      <c r="B8" s="14"/>
      <c r="C8" s="8"/>
      <c r="D8" s="8"/>
      <c r="E8" s="50">
        <v>3</v>
      </c>
      <c r="F8" s="37">
        <f>INDEX(電腦配件價目表!C9:C11,E8)</f>
        <v>2500</v>
      </c>
      <c r="G8" s="8"/>
      <c r="H8" s="35">
        <v>3</v>
      </c>
      <c r="I8" s="8"/>
      <c r="J8" s="38">
        <f>H8*F8</f>
        <v>7500</v>
      </c>
      <c r="K8" s="16"/>
    </row>
    <row r="9" spans="2:13">
      <c r="B9" s="14"/>
      <c r="C9" s="8"/>
      <c r="D9" s="8"/>
      <c r="E9" s="8"/>
      <c r="F9" s="8"/>
      <c r="G9" s="8"/>
      <c r="H9" s="8"/>
      <c r="I9" s="8"/>
      <c r="J9" s="8"/>
      <c r="K9" s="16"/>
    </row>
    <row r="10" spans="2:13">
      <c r="B10" s="14"/>
      <c r="C10" s="8"/>
      <c r="D10" s="8"/>
      <c r="E10" s="8"/>
      <c r="F10" s="8"/>
      <c r="G10" s="8"/>
      <c r="H10" s="8"/>
      <c r="I10" s="8"/>
      <c r="J10" s="8"/>
      <c r="K10" s="16"/>
    </row>
    <row r="11" spans="2:13">
      <c r="B11" s="14"/>
      <c r="C11" s="18"/>
      <c r="D11" s="19" t="s">
        <v>25</v>
      </c>
      <c r="E11" s="8"/>
      <c r="F11" s="8"/>
      <c r="G11" s="8"/>
      <c r="H11" s="8"/>
      <c r="I11" s="8"/>
      <c r="J11" s="8"/>
      <c r="K11" s="16"/>
    </row>
    <row r="12" spans="2:13">
      <c r="B12" s="14"/>
      <c r="C12" s="8"/>
      <c r="D12" s="8"/>
      <c r="E12" s="8"/>
      <c r="F12" s="36">
        <v>2</v>
      </c>
      <c r="G12" s="8"/>
      <c r="H12" s="8"/>
      <c r="I12" s="8"/>
      <c r="J12" s="13" t="s">
        <v>30</v>
      </c>
      <c r="K12" s="16"/>
    </row>
    <row r="13" spans="2:13">
      <c r="B13" s="14" t="b">
        <v>1</v>
      </c>
      <c r="C13" s="47" t="b">
        <v>1</v>
      </c>
      <c r="D13" s="45">
        <f>IF(B13=TRUE,3000,"")</f>
        <v>3000</v>
      </c>
      <c r="E13" s="8"/>
      <c r="F13" s="8"/>
      <c r="G13" s="40">
        <v>2</v>
      </c>
      <c r="H13" s="8"/>
      <c r="I13" s="8"/>
      <c r="J13" s="57">
        <f>SUM(J4,J8,D13:D15,G14)</f>
        <v>37000</v>
      </c>
      <c r="K13" s="16"/>
    </row>
    <row r="14" spans="2:13">
      <c r="B14" s="14" t="b">
        <v>1</v>
      </c>
      <c r="C14" s="47" t="b">
        <v>1</v>
      </c>
      <c r="D14" s="46">
        <f>IF(B14,1500,"")</f>
        <v>1500</v>
      </c>
      <c r="E14" s="8"/>
      <c r="F14" s="8"/>
      <c r="G14" s="38">
        <f>IF(G13=1,3000,IF(G13=2,5000,0))</f>
        <v>5000</v>
      </c>
      <c r="H14" s="8"/>
      <c r="I14" s="8"/>
      <c r="J14" s="58"/>
      <c r="K14" s="16"/>
    </row>
    <row r="15" spans="2:13">
      <c r="B15" s="14" t="b">
        <v>0</v>
      </c>
      <c r="C15" s="47" t="b">
        <v>0</v>
      </c>
      <c r="D15" s="46" t="str">
        <f>IF(B15,800,"")</f>
        <v/>
      </c>
      <c r="E15" s="8"/>
      <c r="F15" s="8"/>
      <c r="G15" s="8"/>
      <c r="H15" s="8"/>
      <c r="I15" s="8"/>
      <c r="J15" s="59"/>
      <c r="K15" s="16"/>
    </row>
    <row r="16" spans="2:13">
      <c r="B16" s="14"/>
      <c r="C16" s="8"/>
      <c r="D16" s="8"/>
      <c r="E16" s="8"/>
      <c r="F16" s="8"/>
      <c r="G16" s="8"/>
      <c r="H16" s="8"/>
      <c r="I16" s="8"/>
      <c r="J16" s="8"/>
      <c r="K16" s="16"/>
    </row>
    <row r="17" spans="2:11" ht="9.75" customHeight="1" thickBot="1">
      <c r="B17" s="20"/>
      <c r="C17" s="21"/>
      <c r="D17" s="21"/>
      <c r="E17" s="21"/>
      <c r="F17" s="21"/>
      <c r="G17" s="21"/>
      <c r="H17" s="21"/>
      <c r="I17" s="21"/>
      <c r="J17" s="21"/>
      <c r="K17" s="22"/>
    </row>
    <row r="18" spans="2:11" ht="17.25" thickTop="1"/>
  </sheetData>
  <mergeCells count="3">
    <mergeCell ref="G3:H3"/>
    <mergeCell ref="J13:J15"/>
    <mergeCell ref="B2:K2"/>
  </mergeCells>
  <phoneticPr fontId="7" type="noConversion"/>
  <pageMargins left="0.49" right="0.43" top="1" bottom="1" header="0.5" footer="0.5"/>
  <pageSetup paperSize="9" orientation="landscape" r:id="rId1"/>
  <headerFooter alignWithMargins="0">
    <oddHeader>&amp;C&amp;"Times New Roman,標準"&amp;F&amp;R&amp;"Times New Roman,標準"&amp;D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1</xdr:col>
                    <xdr:colOff>133350</xdr:colOff>
                    <xdr:row>3</xdr:row>
                    <xdr:rowOff>19050</xdr:rowOff>
                  </from>
                  <to>
                    <xdr:col>3</xdr:col>
                    <xdr:colOff>428625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ist Box 2">
              <controlPr defaultSize="0" autoLine="0" autoPict="0">
                <anchor moveWithCells="1">
                  <from>
                    <xdr:col>1</xdr:col>
                    <xdr:colOff>123825</xdr:colOff>
                    <xdr:row>7</xdr:row>
                    <xdr:rowOff>0</xdr:rowOff>
                  </from>
                  <to>
                    <xdr:col>3</xdr:col>
                    <xdr:colOff>438150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</xdr:col>
                    <xdr:colOff>133350</xdr:colOff>
                    <xdr:row>12</xdr:row>
                    <xdr:rowOff>19050</xdr:rowOff>
                  </from>
                  <to>
                    <xdr:col>2</xdr:col>
                    <xdr:colOff>847725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2</xdr:col>
                    <xdr:colOff>142875</xdr:colOff>
                    <xdr:row>14</xdr:row>
                    <xdr:rowOff>9525</xdr:rowOff>
                  </from>
                  <to>
                    <xdr:col>2</xdr:col>
                    <xdr:colOff>857250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Group Box 6">
              <controlPr defaultSize="0" autoFill="0" autoPict="0">
                <anchor moveWithCells="1" sizeWithCells="1">
                  <from>
                    <xdr:col>4</xdr:col>
                    <xdr:colOff>266700</xdr:colOff>
                    <xdr:row>10</xdr:row>
                    <xdr:rowOff>9525</xdr:rowOff>
                  </from>
                  <to>
                    <xdr:col>5</xdr:col>
                    <xdr:colOff>742950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>
                <anchor moveWithCells="1" sizeWithCells="1">
                  <from>
                    <xdr:col>4</xdr:col>
                    <xdr:colOff>381000</xdr:colOff>
                    <xdr:row>10</xdr:row>
                    <xdr:rowOff>276225</xdr:rowOff>
                  </from>
                  <to>
                    <xdr:col>5</xdr:col>
                    <xdr:colOff>552450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Option Button 8">
              <controlPr defaultSize="0" autoFill="0" autoLine="0" autoPict="0">
                <anchor moveWithCells="1" sizeWithCells="1">
                  <from>
                    <xdr:col>4</xdr:col>
                    <xdr:colOff>381000</xdr:colOff>
                    <xdr:row>12</xdr:row>
                    <xdr:rowOff>95250</xdr:rowOff>
                  </from>
                  <to>
                    <xdr:col>5</xdr:col>
                    <xdr:colOff>552450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Spinner 11">
              <controlPr defaultSize="0" autoPict="0">
                <anchor moveWithCells="1" sizeWithCells="1">
                  <from>
                    <xdr:col>6</xdr:col>
                    <xdr:colOff>333375</xdr:colOff>
                    <xdr:row>3</xdr:row>
                    <xdr:rowOff>38100</xdr:rowOff>
                  </from>
                  <to>
                    <xdr:col>6</xdr:col>
                    <xdr:colOff>590550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Spinner 12">
              <controlPr defaultSize="0" autoPict="0">
                <anchor moveWithCells="1" sizeWithCells="1">
                  <from>
                    <xdr:col>6</xdr:col>
                    <xdr:colOff>333375</xdr:colOff>
                    <xdr:row>7</xdr:row>
                    <xdr:rowOff>28575</xdr:rowOff>
                  </from>
                  <to>
                    <xdr:col>6</xdr:col>
                    <xdr:colOff>590550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Option Button 14">
              <controlPr defaultSize="0" autoFill="0" autoLine="0" autoPict="0">
                <anchor moveWithCells="1" sizeWithCells="1">
                  <from>
                    <xdr:col>4</xdr:col>
                    <xdr:colOff>381000</xdr:colOff>
                    <xdr:row>13</xdr:row>
                    <xdr:rowOff>200025</xdr:rowOff>
                  </from>
                  <to>
                    <xdr:col>5</xdr:col>
                    <xdr:colOff>552450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5" name="Group Box 18">
              <controlPr defaultSize="0" autoFill="0" autoPict="0">
                <anchor moveWithCells="1">
                  <from>
                    <xdr:col>1</xdr:col>
                    <xdr:colOff>428625</xdr:colOff>
                    <xdr:row>10</xdr:row>
                    <xdr:rowOff>171450</xdr:rowOff>
                  </from>
                  <to>
                    <xdr:col>3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M18"/>
  <sheetViews>
    <sheetView showGridLines="0" workbookViewId="0">
      <selection activeCell="E25" sqref="E25"/>
    </sheetView>
  </sheetViews>
  <sheetFormatPr defaultRowHeight="16.5"/>
  <cols>
    <col min="1" max="1" width="3" customWidth="1"/>
    <col min="2" max="2" width="5.875" customWidth="1"/>
    <col min="3" max="3" width="12.75" customWidth="1"/>
    <col min="4" max="4" width="7.625" customWidth="1"/>
    <col min="5" max="5" width="5.875" customWidth="1"/>
    <col min="6" max="6" width="10.625" customWidth="1"/>
    <col min="8" max="8" width="4.75" customWidth="1"/>
    <col min="9" max="9" width="2.5" customWidth="1"/>
    <col min="10" max="10" width="12.75" bestFit="1" customWidth="1"/>
    <col min="11" max="11" width="3" customWidth="1"/>
    <col min="12" max="12" width="3.25" customWidth="1"/>
  </cols>
  <sheetData>
    <row r="1" spans="2:13" ht="18.75" customHeight="1" thickBot="1">
      <c r="B1" s="32"/>
    </row>
    <row r="2" spans="2:13" ht="22.15" customHeight="1" thickBot="1">
      <c r="B2" s="60" t="s">
        <v>53</v>
      </c>
      <c r="C2" s="61"/>
      <c r="D2" s="61"/>
      <c r="E2" s="61"/>
      <c r="F2" s="61"/>
      <c r="G2" s="61"/>
      <c r="H2" s="61"/>
      <c r="I2" s="61"/>
      <c r="J2" s="61"/>
      <c r="K2" s="62"/>
      <c r="M2" s="8"/>
    </row>
    <row r="3" spans="2:13" s="12" customFormat="1" ht="21.6" customHeight="1">
      <c r="B3" s="23"/>
      <c r="C3" s="24" t="s">
        <v>54</v>
      </c>
      <c r="D3" s="25"/>
      <c r="E3" s="25"/>
      <c r="F3" s="26" t="s">
        <v>55</v>
      </c>
      <c r="G3" s="56" t="s">
        <v>56</v>
      </c>
      <c r="H3" s="56"/>
      <c r="I3" s="25"/>
      <c r="J3" s="25" t="s">
        <v>57</v>
      </c>
      <c r="K3" s="27"/>
      <c r="M3" s="25"/>
    </row>
    <row r="4" spans="2:13">
      <c r="B4" s="14"/>
      <c r="C4" s="8"/>
      <c r="D4" s="8"/>
      <c r="E4" s="41"/>
      <c r="F4" s="51"/>
      <c r="G4" s="8"/>
      <c r="H4" s="35"/>
      <c r="I4" s="8"/>
      <c r="J4" s="52"/>
      <c r="K4" s="16"/>
      <c r="M4" s="8"/>
    </row>
    <row r="5" spans="2:13" ht="12.2" customHeight="1">
      <c r="B5" s="14"/>
      <c r="C5" s="8"/>
      <c r="D5" s="8"/>
      <c r="E5" s="40"/>
      <c r="F5" s="17"/>
      <c r="G5" s="8"/>
      <c r="H5" s="8"/>
      <c r="I5" s="8"/>
      <c r="J5" s="8"/>
      <c r="K5" s="16"/>
      <c r="M5" s="8"/>
    </row>
    <row r="6" spans="2:13" ht="8.4499999999999993" customHeight="1">
      <c r="B6" s="14"/>
      <c r="C6" s="8"/>
      <c r="D6" s="8"/>
      <c r="E6" s="40"/>
      <c r="F6" s="17"/>
      <c r="G6" s="8"/>
      <c r="H6" s="8"/>
      <c r="I6" s="8"/>
      <c r="J6" s="8"/>
      <c r="K6" s="16"/>
    </row>
    <row r="7" spans="2:13" ht="18" customHeight="1">
      <c r="B7" s="14"/>
      <c r="C7" s="42" t="s">
        <v>58</v>
      </c>
      <c r="D7" s="8"/>
      <c r="E7" s="40"/>
      <c r="F7" s="17"/>
      <c r="G7" s="8"/>
      <c r="H7" s="8"/>
      <c r="I7" s="8"/>
      <c r="J7" s="8"/>
      <c r="K7" s="16"/>
    </row>
    <row r="8" spans="2:13">
      <c r="B8" s="14"/>
      <c r="C8" s="8"/>
      <c r="D8" s="8"/>
      <c r="E8" s="55"/>
      <c r="F8" s="51"/>
      <c r="G8" s="8"/>
      <c r="H8" s="35"/>
      <c r="I8" s="8"/>
      <c r="J8" s="52"/>
      <c r="K8" s="16"/>
    </row>
    <row r="9" spans="2:13">
      <c r="B9" s="14"/>
      <c r="C9" s="8"/>
      <c r="D9" s="8"/>
      <c r="E9" s="40"/>
      <c r="F9" s="8"/>
      <c r="G9" s="8"/>
      <c r="H9" s="8"/>
      <c r="I9" s="8"/>
      <c r="J9" s="8"/>
      <c r="K9" s="16"/>
    </row>
    <row r="10" spans="2:13">
      <c r="B10" s="14"/>
      <c r="C10" s="8"/>
      <c r="D10" s="8"/>
      <c r="E10" s="8"/>
      <c r="F10" s="8"/>
      <c r="G10" s="8"/>
      <c r="H10" s="8"/>
      <c r="I10" s="8"/>
      <c r="J10" s="8"/>
      <c r="K10" s="16"/>
    </row>
    <row r="11" spans="2:13">
      <c r="B11" s="14"/>
      <c r="C11" s="18"/>
      <c r="D11" s="19" t="s">
        <v>59</v>
      </c>
      <c r="E11" s="8"/>
      <c r="F11" s="8"/>
      <c r="G11" s="8"/>
      <c r="H11" s="8"/>
      <c r="I11" s="8"/>
      <c r="J11" s="8"/>
      <c r="K11" s="16"/>
    </row>
    <row r="12" spans="2:13">
      <c r="B12" s="14"/>
      <c r="C12" s="8"/>
      <c r="D12" s="8"/>
      <c r="E12" s="8"/>
      <c r="F12" s="36">
        <v>2</v>
      </c>
      <c r="G12" s="8"/>
      <c r="H12" s="8"/>
      <c r="I12" s="8"/>
      <c r="J12" s="13" t="s">
        <v>60</v>
      </c>
      <c r="K12" s="16"/>
    </row>
    <row r="13" spans="2:13">
      <c r="B13" s="53"/>
      <c r="C13" s="47"/>
      <c r="D13" s="45"/>
      <c r="E13" s="8"/>
      <c r="F13" s="8"/>
      <c r="G13" s="54"/>
      <c r="H13" s="8"/>
      <c r="I13" s="8"/>
      <c r="J13" s="57"/>
      <c r="K13" s="16"/>
    </row>
    <row r="14" spans="2:13">
      <c r="B14" s="53"/>
      <c r="C14" s="47"/>
      <c r="D14" s="46"/>
      <c r="E14" s="8"/>
      <c r="F14" s="8"/>
      <c r="G14" s="52"/>
      <c r="H14" s="8"/>
      <c r="I14" s="8"/>
      <c r="J14" s="58"/>
      <c r="K14" s="16"/>
    </row>
    <row r="15" spans="2:13">
      <c r="B15" s="53"/>
      <c r="C15" s="47"/>
      <c r="D15" s="46"/>
      <c r="E15" s="8"/>
      <c r="F15" s="8"/>
      <c r="G15" s="8"/>
      <c r="H15" s="8"/>
      <c r="I15" s="8"/>
      <c r="J15" s="59"/>
      <c r="K15" s="16"/>
    </row>
    <row r="16" spans="2:13">
      <c r="B16" s="14"/>
      <c r="C16" s="8"/>
      <c r="D16" s="8"/>
      <c r="E16" s="8"/>
      <c r="F16" s="8"/>
      <c r="G16" s="8"/>
      <c r="H16" s="8"/>
      <c r="I16" s="8"/>
      <c r="J16" s="8"/>
      <c r="K16" s="16"/>
    </row>
    <row r="17" spans="2:11" ht="9.75" customHeight="1" thickBot="1">
      <c r="B17" s="20"/>
      <c r="C17" s="21"/>
      <c r="D17" s="21"/>
      <c r="E17" s="21"/>
      <c r="F17" s="21"/>
      <c r="G17" s="21"/>
      <c r="H17" s="21"/>
      <c r="I17" s="21"/>
      <c r="J17" s="21"/>
      <c r="K17" s="22"/>
    </row>
    <row r="18" spans="2:11" ht="17.25" thickTop="1"/>
  </sheetData>
  <mergeCells count="3">
    <mergeCell ref="G3:H3"/>
    <mergeCell ref="J13:J15"/>
    <mergeCell ref="B2:K2"/>
  </mergeCells>
  <phoneticPr fontId="7" type="noConversion"/>
  <pageMargins left="0.49" right="0.43" top="1" bottom="1" header="0.5" footer="0.5"/>
  <pageSetup paperSize="9" orientation="landscape" r:id="rId1"/>
  <headerFooter alignWithMargins="0">
    <oddHeader>&amp;C&amp;"Times New Roman,標準"&amp;F&amp;R&amp;"Times New Roman,標準"&amp;D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2</vt:i4>
      </vt:variant>
    </vt:vector>
  </HeadingPairs>
  <TitlesOfParts>
    <vt:vector size="8" baseType="lpstr">
      <vt:lpstr>資料表</vt:lpstr>
      <vt:lpstr>練習一</vt:lpstr>
      <vt:lpstr>練習一半成品</vt:lpstr>
      <vt:lpstr>電腦配件價目表</vt:lpstr>
      <vt:lpstr>範例ㄧ</vt:lpstr>
      <vt:lpstr>範例ㄧ 半成品</vt:lpstr>
      <vt:lpstr>電腦配件價目表!美商超微半導體</vt:lpstr>
      <vt:lpstr>職務名稱</vt:lpstr>
    </vt:vector>
  </TitlesOfParts>
  <Company>長庚大學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陳偉忠</dc:creator>
  <cp:lastModifiedBy>Windows 使用者</cp:lastModifiedBy>
  <cp:lastPrinted>2000-11-24T08:18:54Z</cp:lastPrinted>
  <dcterms:created xsi:type="dcterms:W3CDTF">1999-05-20T02:19:13Z</dcterms:created>
  <dcterms:modified xsi:type="dcterms:W3CDTF">2013-07-22T07:15:14Z</dcterms:modified>
</cp:coreProperties>
</file>